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Time" sheetId="1" r:id="rId5"/>
    <sheet state="visible" name="Mysore " sheetId="2" r:id="rId6"/>
    <sheet state="visible" name="Manesar" sheetId="3" r:id="rId7"/>
    <sheet state="visible" name="Mumbai" sheetId="4" r:id="rId8"/>
    <sheet state="visible" name="Pondi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tc={d7b28cb7-8316-48b4-b1a3-b255e9c4f520}</author>
  </authors>
  <commentList>
    <comment authorId="0" xr:uid="{d7b28cb7-8316-48b4-b1a3-b255e9c4f520}" ref="D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DISCPATCHED
</t>
      </text>
    </comment>
  </commentList>
</comments>
</file>

<file path=xl/sharedStrings.xml><?xml version="1.0" encoding="utf-8"?>
<sst xmlns="http://schemas.openxmlformats.org/spreadsheetml/2006/main" count="1645" uniqueCount="652">
  <si>
    <t>Vehicles</t>
  </si>
  <si>
    <t>CONSIGNMENT ID</t>
  </si>
  <si>
    <t>PURCHASE ORDER ID</t>
  </si>
  <si>
    <t xml:space="preserve">Planned Dis Date </t>
  </si>
  <si>
    <t xml:space="preserve">Vendor </t>
  </si>
  <si>
    <t>DELIVERY DATE</t>
  </si>
  <si>
    <t>UNITS</t>
  </si>
  <si>
    <t>VENDOR WAREHOUSE</t>
  </si>
  <si>
    <t>Portal</t>
  </si>
  <si>
    <t>Dispatch FC</t>
  </si>
  <si>
    <t>Dispatch date</t>
  </si>
  <si>
    <t>FC Code</t>
  </si>
  <si>
    <t>Remarks</t>
  </si>
  <si>
    <t>Vehicle no</t>
  </si>
  <si>
    <t>FC City</t>
  </si>
  <si>
    <t>Driver no</t>
  </si>
  <si>
    <t>Dock No</t>
  </si>
  <si>
    <t>Mysuru</t>
  </si>
  <si>
    <t xml:space="preserve">Manesar </t>
  </si>
  <si>
    <t>Pondi</t>
  </si>
  <si>
    <t>Mumbai</t>
  </si>
  <si>
    <t>Vendor</t>
  </si>
  <si>
    <t>FCN7674113</t>
  </si>
  <si>
    <t>Warehouse Name</t>
  </si>
  <si>
    <t>Location Code</t>
  </si>
  <si>
    <t>FC Address</t>
  </si>
  <si>
    <t>FNHWKN08232316</t>
  </si>
  <si>
    <t>Google Location</t>
  </si>
  <si>
    <t>FKM</t>
  </si>
  <si>
    <t>Location</t>
  </si>
  <si>
    <t>nad_har_wh_kl_nl_01nl</t>
  </si>
  <si>
    <t>Alpha</t>
  </si>
  <si>
    <t>REMARKS</t>
  </si>
  <si>
    <t>Delivery Status</t>
  </si>
  <si>
    <t>ben_hos_wh_nl_02nl</t>
  </si>
  <si>
    <t xml:space="preserve">Remarks </t>
  </si>
  <si>
    <t>Driver no/ unloaded on</t>
  </si>
  <si>
    <t>Bangalore</t>
  </si>
  <si>
    <t>3,4,5,6,7 &amp; 8</t>
  </si>
  <si>
    <t>Mysore</t>
  </si>
  <si>
    <t>N/A</t>
  </si>
  <si>
    <t>7SGSGPJZ, 5O7OM6JE, 7S5ZXC4Q</t>
  </si>
  <si>
    <t>09/06/2026 03:00 AM IST</t>
  </si>
  <si>
    <t>FCN7673698</t>
  </si>
  <si>
    <t>FNHWKN08229564</t>
  </si>
  <si>
    <t>ulub_bts</t>
  </si>
  <si>
    <t>kolkatauluberiabts</t>
  </si>
  <si>
    <t>Howrah</t>
  </si>
  <si>
    <t>BLR4</t>
  </si>
  <si>
    <t>ESR WAREHOUSING &amp; LOGISTIC PARK , BUILDING NO.3, MOUZAS CHANDIPUR, HARINARAYANCHAK AND AMRABERIA IN J.L. NO 9, 55 AND 8 ,ULUBERIA,HOWRAH, WEST BENGAL - 711316</t>
  </si>
  <si>
    <t>RK</t>
  </si>
  <si>
    <t>Link</t>
  </si>
  <si>
    <t>bhi_pad_wh_nl_05nl</t>
  </si>
  <si>
    <t>Bhiwandi</t>
  </si>
  <si>
    <t>28,29 &amp; 30</t>
  </si>
  <si>
    <t>Miss</t>
  </si>
  <si>
    <t>FCN7698531</t>
  </si>
  <si>
    <t>FFB8250214</t>
  </si>
  <si>
    <t>Kalash_East_Haringhata_FC_1</t>
  </si>
  <si>
    <t>Nadia</t>
  </si>
  <si>
    <t>Plot No S -A-1 Haringhata Industrial Park, Mouza Panchpota, Balindi, Ayeshpur, Murgacha, Nadia,District, Haringhata West Bengal, Nadia, West Bengal, 741249</t>
  </si>
  <si>
    <t>frk_bts</t>
  </si>
  <si>
    <t>bin_sh_wh_nl_01nl</t>
  </si>
  <si>
    <t>Binola</t>
  </si>
  <si>
    <t>15,16,17,18 &amp; 19</t>
  </si>
  <si>
    <t>Manesar</t>
  </si>
  <si>
    <t>FarrukhnagarBTSWarehouse</t>
  </si>
  <si>
    <t>Jhajjar</t>
  </si>
  <si>
    <t>RECTANGLE NO. 06, RECTANGLE NO. 07, RECTANGLE NO. 08 AND RECTANGLE NO. 13, VILLAGE- KHALIKPUR,, TEHSIL- BADLI, DISTRICT- JHAJJAR, FC- FARRUKHNAGAR-124103</t>
  </si>
  <si>
    <t>ulu_sh_wh_nl_01nl</t>
  </si>
  <si>
    <t>Uluberia</t>
  </si>
  <si>
    <t>11,12,13,14,15,&amp; 16</t>
  </si>
  <si>
    <t>DL01MA8517</t>
  </si>
  <si>
    <t>gur_san_wh_nl_01nl</t>
  </si>
  <si>
    <t>Sanpka01</t>
  </si>
  <si>
    <t>FCN7678364</t>
  </si>
  <si>
    <t xml:space="preserve">Dispatch Date </t>
  </si>
  <si>
    <t>FCN7727231</t>
  </si>
  <si>
    <t>FFB8282987</t>
  </si>
  <si>
    <t>FBVWN08208895</t>
  </si>
  <si>
    <t>Farukhnagar</t>
  </si>
  <si>
    <t>KHASRA NO. 21//16, 21//25, 22//20/2, 22//21 &amp; 25//5/1, 24//1, 25//5/2 &amp; 25//6/1, 24//9 &amp; 24//10, 21//14/2, 21//15/2, 21//17 &amp; 21//18, 25//1, 25//2, 25//3, 25//4, 25//7, 25//8, 25//9/1, 25//10/2, 26//4 &amp; 26//5, 25//10/1, 26//6/1 &amp; 26//7/2, 20//17/2, 20//24, 20//25, 21//19, 21//21, 21//22, 21//23&amp; 21//24, AND OTHERS, VILLAGE SANPKA, TEHSIL FARUKHNAGAR, DISTRICT GURUGRAM, HARYANA, INDIA-122503</t>
  </si>
  <si>
    <t>FCN7678378</t>
  </si>
  <si>
    <t>FFB8229561</t>
  </si>
  <si>
    <t>new_new_wh_nl_01nl</t>
  </si>
  <si>
    <t>Bijwasan</t>
  </si>
  <si>
    <t>1,2,3,4 &amp; 5</t>
  </si>
  <si>
    <t>malur_bts</t>
  </si>
  <si>
    <t>MalurBTSWarehouse</t>
  </si>
  <si>
    <t>Survey No, 171,156,157,10P/18,152,160,161,170,151/2, 151/1,150,149,148,173, Marasandra Village, Hurulugere Post, Kasaba Hobli, Malur Taluk, Kolar District. 563160, Malur, Kolar, Karnataka-563160</t>
  </si>
  <si>
    <t>FCN7678377</t>
  </si>
  <si>
    <t>FFB8232308</t>
  </si>
  <si>
    <t>FCN7673806</t>
  </si>
  <si>
    <t>FFB8208873</t>
  </si>
  <si>
    <t>7caefb8d ( APP ID)</t>
  </si>
  <si>
    <t>FCN7720496</t>
  </si>
  <si>
    <t>FBSWN08279452</t>
  </si>
  <si>
    <t>JN2PO110128</t>
  </si>
  <si>
    <t>Bin Sh Wh Nl 01 Nl</t>
  </si>
  <si>
    <t>luc_gsh_wh_nl_01nl</t>
  </si>
  <si>
    <t>Lucknow</t>
  </si>
  <si>
    <t>14,15, &amp;16</t>
  </si>
  <si>
    <t xml:space="preserve">        
29/07/26 (Next Week) 8:30 AM
</t>
  </si>
  <si>
    <t>ban_ven_wh_nl_01nl</t>
  </si>
  <si>
    <t>ANJ_BTS_01</t>
  </si>
  <si>
    <t>Survey No 18/2, 18/3, 18/4, 19/1, 19/2, 19/3,20/1, 20/2, 20/3, 21/2, 22/2, 23/2, 23/3, 23/4,Measuring No 25 Acres and Guntas situated at Measuring No 25 Acres and Guntas situated at taverkere Venkatapura Hosakote taluk,Nandagudi hobli Bangalore Karnataka 562122</t>
  </si>
  <si>
    <t xml:space="preserve">	
CHE AMB IM2</t>
  </si>
  <si>
    <t>FCN7734646</t>
  </si>
  <si>
    <t>FFB8193483</t>
  </si>
  <si>
    <t>Chennai</t>
  </si>
  <si>
    <t>guw_gsh_wh_nl_01nl</t>
  </si>
  <si>
    <t>Swigy Instamart</t>
  </si>
  <si>
    <t>Guwahati</t>
  </si>
  <si>
    <t>1G, &amp; 2A</t>
  </si>
  <si>
    <t>hyderabad_medchal_01</t>
  </si>
  <si>
    <t>Hyderabad01Warehouse</t>
  </si>
  <si>
    <t>Hyderabad</t>
  </si>
  <si>
    <t>Survey NO 696, GUNDLAPOCHAMPALLY VILLAGE, MEDCHAL MANDAL, RANGA REDDY DISTRICT, SECUNDERABAD, TELANGANA, 501401</t>
  </si>
  <si>
    <t>731TQK6D, 1GER24MM</t>
  </si>
  <si>
    <t>20/06/2026 09:30 AM IST</t>
  </si>
  <si>
    <t>ahm_sh_wh_nl_02nl</t>
  </si>
  <si>
    <t>Ahmedabad</t>
  </si>
  <si>
    <t>1 &amp; 2</t>
  </si>
  <si>
    <t>bhi_vas_wh_nl_01nl</t>
  </si>
  <si>
    <t>BhiwandiBTS</t>
  </si>
  <si>
    <t>DED3</t>
  </si>
  <si>
    <t>WAREHOUSE BUILDING NOs WE-II, RENAISSANCE INTEGRATED INDUSTRIAL AREA,VILLAGE VASHERE,BHIWANDI,THANE.421302</t>
  </si>
  <si>
    <t>Bhiwandi BTS FC Location</t>
  </si>
  <si>
    <t>Billed</t>
  </si>
  <si>
    <t>ane_gsh_wh_nl_01nl</t>
  </si>
  <si>
    <t>Anekal</t>
  </si>
  <si>
    <t>6 to 12</t>
  </si>
  <si>
    <t>KA52A5835</t>
  </si>
  <si>
    <t>54BRDUGN, 1CGGKPTN, 224SJE2U</t>
  </si>
  <si>
    <t>22/06/2026 08:30 AM IST</t>
  </si>
  <si>
    <t>bhi_pad_wh_nl_01nl</t>
  </si>
  <si>
    <t>BhiwandiSaidham3PLflex01</t>
  </si>
  <si>
    <t>2H5AFL2P, 8L6GA1IT, 4RTLH82T</t>
  </si>
  <si>
    <t>Warehouse Saidham, G warehouse, At Village -Dohale, Post Padgha, Opp Vaishnavdevi Mandir,Taluka Bhiwandi, Dist Thane, Thane, Maharashtra, 421101</t>
  </si>
  <si>
    <t>Saidham FC Location</t>
  </si>
  <si>
    <t>29/06/2026 08:30 AM IST</t>
  </si>
  <si>
    <t>che_gsh_wh_nl_01nl</t>
  </si>
  <si>
    <t>FCN7657039</t>
  </si>
  <si>
    <t>FBVWN08232324</t>
  </si>
  <si>
    <t>jai_sh_wh_nl_01nl</t>
  </si>
  <si>
    <t>Jaipur</t>
  </si>
  <si>
    <t>3 &amp; 4</t>
  </si>
  <si>
    <t>FCN7764392</t>
  </si>
  <si>
    <t>FBSWN08303798</t>
  </si>
  <si>
    <t>pat_sh_wh_nl_01nl</t>
  </si>
  <si>
    <t>Patna</t>
  </si>
  <si>
    <t>81,82, 83, 84 &amp; 85</t>
  </si>
  <si>
    <t>FCN7777284</t>
  </si>
  <si>
    <t>FCN7674097</t>
  </si>
  <si>
    <t>FBSWN08315401</t>
  </si>
  <si>
    <t xml:space="preserve">BLR4 </t>
  </si>
  <si>
    <t>Billed 4114 Units</t>
  </si>
  <si>
    <t>KA53A5861</t>
  </si>
  <si>
    <t>P2, KIADB Industrial park North, hardware park, Plot number 12, Bande Kodigehalli, Bengaluru, Karnataka 562149</t>
  </si>
  <si>
    <t>FCN7814768</t>
  </si>
  <si>
    <t>Noc-in-ibsupport@amazon.com</t>
  </si>
  <si>
    <t>FCN7681788</t>
  </si>
  <si>
    <t>FMB8229563</t>
  </si>
  <si>
    <t>FNHWKN08344133</t>
  </si>
  <si>
    <t>DED5</t>
  </si>
  <si>
    <t>Haryana</t>
  </si>
  <si>
    <t>Sarmathla Road, Rahaka, Haryana 122103</t>
  </si>
  <si>
    <t>5PZY45MN</t>
  </si>
  <si>
    <t>FCN7810534</t>
  </si>
  <si>
    <t>Farukh Nagar, Haryana</t>
  </si>
  <si>
    <t>Shail Embassy Logistics Parks, Amazon Seller Services Pvt Limited, Block J2, Farukh Nagar, Haryana 122506</t>
  </si>
  <si>
    <t>FFB8308342</t>
  </si>
  <si>
    <t>15/06/2026 03:00 PM IST</t>
  </si>
  <si>
    <t>ISK3</t>
  </si>
  <si>
    <t>Maharashtra</t>
  </si>
  <si>
    <t>857G+F8H, Pise, Maharashtra 421302</t>
  </si>
  <si>
    <t xml:space="preserve">Billed </t>
  </si>
  <si>
    <t>KA52C2477</t>
  </si>
  <si>
    <t>Zone</t>
  </si>
  <si>
    <t>lead time in day</t>
  </si>
  <si>
    <t>FCN7814761</t>
  </si>
  <si>
    <t>FCN7727138</t>
  </si>
  <si>
    <t xml:space="preserve">south </t>
  </si>
  <si>
    <t>FBVWN08283002</t>
  </si>
  <si>
    <t>north</t>
  </si>
  <si>
    <t>FFB8344156</t>
  </si>
  <si>
    <t>east</t>
  </si>
  <si>
    <t>west</t>
  </si>
  <si>
    <t>FCN7836286</t>
  </si>
  <si>
    <t>FBSWN08357577</t>
  </si>
  <si>
    <t>FLSCNISD6CEHIHJX</t>
  </si>
  <si>
    <t>KA01AC2524</t>
  </si>
  <si>
    <t>FLS715554421</t>
  </si>
  <si>
    <t>FCN7715595</t>
  </si>
  <si>
    <t>FHGWN08180502</t>
  </si>
  <si>
    <t>FCN7839642, FCN7836362</t>
  </si>
  <si>
    <t>FNHWKN08360407, FNHWKN08355465</t>
  </si>
  <si>
    <t>FCN7879305, FLSCNISD6XGKCXRD</t>
  </si>
  <si>
    <t>hyd_gsh_wh_nl_01n</t>
  </si>
  <si>
    <t>FNHWKN08360407, FLSB120FBB32, FLS92087455A</t>
  </si>
  <si>
    <t>KA52C1842</t>
  </si>
  <si>
    <t>FLSCNISD6PGOB0XB</t>
  </si>
  <si>
    <t>FLS8773EAC3F</t>
  </si>
  <si>
    <t>FCN7715592</t>
  </si>
  <si>
    <t>FHGWN08203568</t>
  </si>
  <si>
    <t>FLSCNISD6ZKZ3EBO</t>
  </si>
  <si>
    <t>FLS523F809B9</t>
  </si>
  <si>
    <t>FLSCNISD6PKUNHDB</t>
  </si>
  <si>
    <t>FLS32A839864, FLS241789A88,  FLSB6B2410E9</t>
  </si>
  <si>
    <t>FCN7715587</t>
  </si>
  <si>
    <t>FHGWN08216343</t>
  </si>
  <si>
    <t>56b68aa7 ( APP ID)</t>
  </si>
  <si>
    <t>FC5PO420542</t>
  </si>
  <si>
    <t>FCN7715576</t>
  </si>
  <si>
    <t>FHGWN08224419</t>
  </si>
  <si>
    <t>29/07/26 (Next Week) 8:30 AM</t>
  </si>
  <si>
    <t>DLHY GGNFC5</t>
  </si>
  <si>
    <t>Swiggy Instamart</t>
  </si>
  <si>
    <t>FCN7715489</t>
  </si>
  <si>
    <t>FBHWN08254319</t>
  </si>
  <si>
    <t>FLSCNISD6ISKAPZI</t>
  </si>
  <si>
    <t>FLS4DD5DC3E1</t>
  </si>
  <si>
    <t>FLSCNISD6FRREDVV</t>
  </si>
  <si>
    <t>FLSF6DBDC19F</t>
  </si>
  <si>
    <t>FLSCNISD65TCLJX3</t>
  </si>
  <si>
    <t>FLS3DFA583B3</t>
  </si>
  <si>
    <t>FC5PO420869</t>
  </si>
  <si>
    <t>KA52C3330</t>
  </si>
  <si>
    <t>14/08/26 at 8:30 AM</t>
  </si>
  <si>
    <t>FC5PO421317</t>
  </si>
  <si>
    <t>FCN7715482</t>
  </si>
  <si>
    <t>FBHWN08242126</t>
  </si>
  <si>
    <t>FLSCNISD6ED4XLUQ</t>
  </si>
  <si>
    <t>FLSCNISD6QTGCSRH</t>
  </si>
  <si>
    <t>FLSC6AACF705</t>
  </si>
  <si>
    <t>FCN7727275</t>
  </si>
  <si>
    <t>FHM08282994</t>
  </si>
  <si>
    <t>FLSCNISD6WY4SVHH</t>
  </si>
  <si>
    <t>FLS2EB754F4F</t>
  </si>
  <si>
    <t>Billed  4185 Units</t>
  </si>
  <si>
    <t>2MPK2QZI</t>
  </si>
  <si>
    <t>KA52B1004</t>
  </si>
  <si>
    <t>19/08/2026 03:30 AM IST</t>
  </si>
  <si>
    <t>7HNLLNWC</t>
  </si>
  <si>
    <t>24/08/2026 01:00 AM IST</t>
  </si>
  <si>
    <t>FCN7735761</t>
  </si>
  <si>
    <t>FBHWN08288375</t>
  </si>
  <si>
    <t>5VOR8WXQ</t>
  </si>
  <si>
    <t>28/08/2026 05:15 PM IST</t>
  </si>
  <si>
    <t>Ben Hos Wh Nl 02 Nl</t>
  </si>
  <si>
    <t>FLSCNISD6M8BEEMC</t>
  </si>
  <si>
    <t>FLS0A997644F</t>
  </si>
  <si>
    <t>Son Gsh Wh Nl 01 Nl</t>
  </si>
  <si>
    <t>3LAIUKCG , 8386LNWC</t>
  </si>
  <si>
    <t>KA41AA1974</t>
  </si>
  <si>
    <t>30/08/2026 06:45 PM IST</t>
  </si>
  <si>
    <t>FLSCNISD6VZTXIPX</t>
  </si>
  <si>
    <t>FLSA1B6070B4</t>
  </si>
  <si>
    <t>FCN7720504</t>
  </si>
  <si>
    <t>FBHWN08278144</t>
  </si>
  <si>
    <t>Farrukhnagar BTS Warehouse</t>
  </si>
  <si>
    <t>KA548615</t>
  </si>
  <si>
    <t>NL01AG2499</t>
  </si>
  <si>
    <t>FCN7698477</t>
  </si>
  <si>
    <t>FLSCNISD6JH6KHCB</t>
  </si>
  <si>
    <t>HR55AL7568</t>
  </si>
  <si>
    <t>FLSCNISD6NNUZMUG</t>
  </si>
  <si>
    <t>FLS6B2413B37</t>
  </si>
  <si>
    <t>FCN7673819</t>
  </si>
  <si>
    <t>FNHWKN08208881</t>
  </si>
  <si>
    <t>FLSCNISD6XQIDGJR</t>
  </si>
  <si>
    <t>FLS342EC4E35</t>
  </si>
  <si>
    <t>FCN7734625</t>
  </si>
  <si>
    <t>FNHWKN08283007</t>
  </si>
  <si>
    <t>Nad Har Wh Kl Nl 01 Nl</t>
  </si>
  <si>
    <t>HR55BB5360</t>
  </si>
  <si>
    <t>Delivered</t>
  </si>
  <si>
    <t>FLSCNISD6LBEDRDP</t>
  </si>
  <si>
    <t>FCN7727085</t>
  </si>
  <si>
    <t>FCN7727227</t>
  </si>
  <si>
    <t>RJ02GC2695</t>
  </si>
  <si>
    <t xml:space="preserve">Deliverd </t>
  </si>
  <si>
    <t>FLSCNISD6EM6NOLZ</t>
  </si>
  <si>
    <t>KA03AK4554</t>
  </si>
  <si>
    <t>FCN7727222</t>
  </si>
  <si>
    <t>KA01AA7466</t>
  </si>
  <si>
    <t>HR55BA6682</t>
  </si>
  <si>
    <t>FLSCNISD6TJVMRC5</t>
  </si>
  <si>
    <t>FCN7727184</t>
  </si>
  <si>
    <t>KA550649</t>
  </si>
  <si>
    <t>BR01GJ1987</t>
  </si>
  <si>
    <t>2SZ14VRS , 1KTLINUD</t>
  </si>
  <si>
    <t>06/09/2026 03:15 PM IST</t>
  </si>
  <si>
    <t>DeD3</t>
  </si>
  <si>
    <t>FCN7734596</t>
  </si>
  <si>
    <t>HR55AM7858</t>
  </si>
  <si>
    <t>RETURN</t>
  </si>
  <si>
    <t>FBPWN08283011</t>
  </si>
  <si>
    <t>FLSCNISD6KB7KE7Z</t>
  </si>
  <si>
    <t>3rd Sep 2026, 9:00:00 am</t>
  </si>
  <si>
    <t>RJ32GD7505</t>
  </si>
  <si>
    <t>FLSCNISD618FROOZ</t>
  </si>
  <si>
    <t>4th Sep 2026, 11:00:00 am</t>
  </si>
  <si>
    <t>HR55BB-9714</t>
  </si>
  <si>
    <t>Billed &amp; Returned</t>
  </si>
  <si>
    <t>MH46BH8788</t>
  </si>
  <si>
    <t>FLSCNISD6JAU9HK6</t>
  </si>
  <si>
    <t>FLS65WEBRKNU</t>
  </si>
  <si>
    <t xml:space="preserve">Not unloaded </t>
  </si>
  <si>
    <t>FCN7726976</t>
  </si>
  <si>
    <t>FBPWN08232313</t>
  </si>
  <si>
    <t>FLSCNISD6XB1ZELR</t>
  </si>
  <si>
    <t>FLS5SDFYOHZR</t>
  </si>
  <si>
    <t>49ZABXZT, 6LRRTNJD</t>
  </si>
  <si>
    <t>9th Sep 2026, 7:00:00 am</t>
  </si>
  <si>
    <t>21/06/2026 03:00 PM IST</t>
  </si>
  <si>
    <t>KA13AA6788</t>
  </si>
  <si>
    <t>son_gsh_wh_nl_01nl</t>
  </si>
  <si>
    <t>21/06/2026 11:30 AM IST</t>
  </si>
  <si>
    <t>FLSCNISD61FGDKNY</t>
  </si>
  <si>
    <t>KA02AL3354</t>
  </si>
  <si>
    <t>FLS57AC9135C</t>
  </si>
  <si>
    <t>Bengaluru B5 - Feeder Warehouse</t>
  </si>
  <si>
    <t>Blinkit</t>
  </si>
  <si>
    <t>KA52A3774</t>
  </si>
  <si>
    <t>FLSCNISD6TNPZEDX</t>
  </si>
  <si>
    <t>2Q3BBCVJ, 4TDH65CI</t>
  </si>
  <si>
    <t>24/06/2026 02:00 AM IST</t>
  </si>
  <si>
    <t>KA11C7920</t>
  </si>
  <si>
    <t>Returned to mys 27th due to Inner lable not scanned to inward</t>
  </si>
  <si>
    <t>FCN7764341</t>
  </si>
  <si>
    <t>FBHWN08304513</t>
  </si>
  <si>
    <t>Due to a space issue, the Flipkart team has not confirmed whether unloading will happen as per the scheduled slot. Therefore, the vehicle has not been sent.</t>
  </si>
  <si>
    <t>FLSCNISD6X1KYOJ8</t>
  </si>
  <si>
    <t>Deliverd</t>
  </si>
  <si>
    <t>KA13AA5920</t>
  </si>
  <si>
    <t>FLSCNISD6KFQXHSK</t>
  </si>
  <si>
    <t>FLS99B2CYX0M</t>
  </si>
  <si>
    <t>ALpha</t>
  </si>
  <si>
    <t>FLSCNISD6YAUJ1W1</t>
  </si>
  <si>
    <t>FLSFY425XF38</t>
  </si>
  <si>
    <t>FLSCNISD6NGZ1OHP</t>
  </si>
  <si>
    <t>FLSCNISD6QCX9TBZ</t>
  </si>
  <si>
    <t>FLSLVN34CLK0,</t>
  </si>
  <si>
    <t>7YVPG4EQ, 353VC2SN</t>
  </si>
  <si>
    <t>FLSCNISD6NX2RLFU</t>
  </si>
  <si>
    <t>FLSBJFOR3N1S</t>
  </si>
  <si>
    <t>30/06/2026 02:00 AM IST</t>
  </si>
  <si>
    <t>FLSCNISD6QGPBUQE</t>
  </si>
  <si>
    <t>KA04AF2432</t>
  </si>
  <si>
    <t>FLS02CDDC93B</t>
  </si>
  <si>
    <r>
      <rPr>
        <rFont val="Arial"/>
        <color theme="1"/>
      </rPr>
      <t xml:space="preserve"> </t>
    </r>
    <r>
      <rPr>
        <rFont val="Arial"/>
        <b/>
        <color theme="1"/>
      </rPr>
      <t>353VC2SN</t>
    </r>
    <r>
      <rPr>
        <rFont val="Arial"/>
        <color theme="1"/>
      </rPr>
      <t xml:space="preserve"> This PO not Billed </t>
    </r>
  </si>
  <si>
    <t>FCN7798707</t>
  </si>
  <si>
    <t>FNHWKN08308335</t>
  </si>
  <si>
    <t>AS01TC6531</t>
  </si>
  <si>
    <t>FLSCNISD6TLHQKA3</t>
  </si>
  <si>
    <t>FLSO4J79P67T</t>
  </si>
  <si>
    <t>FCN7814838</t>
  </si>
  <si>
    <t>FLSCNISD6YM6WYB6</t>
  </si>
  <si>
    <t>FLS3YTLHUC4W</t>
  </si>
  <si>
    <t>RJ32GC0751</t>
  </si>
  <si>
    <t>FCN7806916</t>
  </si>
  <si>
    <t>FAGWN08337179</t>
  </si>
  <si>
    <t>Ane Gsh Wh Nl 01 Nl</t>
  </si>
  <si>
    <t>HR47E3655</t>
  </si>
  <si>
    <t>KA02AF1963</t>
  </si>
  <si>
    <t>FLSCNISD6WDIP3WE</t>
  </si>
  <si>
    <t>FCN7798603</t>
  </si>
  <si>
    <t>FBHWN08331139</t>
  </si>
  <si>
    <t>KA04AB3973</t>
  </si>
  <si>
    <t>5NO6JEBV</t>
  </si>
  <si>
    <t>HR55AR7197</t>
  </si>
  <si>
    <t>FLSCNISD6CUWSKRS</t>
  </si>
  <si>
    <t>FLSWJ0OVJ4OJ</t>
  </si>
  <si>
    <t>15/07/2026 21:30 IST</t>
  </si>
  <si>
    <t>Banglore</t>
  </si>
  <si>
    <t>KA598200</t>
  </si>
  <si>
    <t>Nad Har Wh Kl Nl 01 Nl_01</t>
  </si>
  <si>
    <t>HR55BC0955</t>
  </si>
  <si>
    <t>2Q3BBCVJ, 4TDH65CI, 8MVQQXFL</t>
  </si>
  <si>
    <t>09/07/2026 03:00 PM IST</t>
  </si>
  <si>
    <t>KA52C5751</t>
  </si>
  <si>
    <t>34QR923W</t>
  </si>
  <si>
    <t>09/07/2026 09:30 PM IST</t>
  </si>
  <si>
    <t>KA51AM1935</t>
  </si>
  <si>
    <t>7YVPG4EQ , 353VC2SN</t>
  </si>
  <si>
    <t>14/07/2026 06:45 PM IST</t>
  </si>
  <si>
    <t>KA41B4627</t>
  </si>
  <si>
    <t>FLSCNISD64PSJY8N</t>
  </si>
  <si>
    <t>FLS537D638EF</t>
  </si>
  <si>
    <t>KA05AN3456</t>
  </si>
  <si>
    <t>Kirana 8123311265</t>
  </si>
  <si>
    <t>7PVUOVLB, 34QR923W</t>
  </si>
  <si>
    <t>BLR 4</t>
  </si>
  <si>
    <t>KA53AC6825</t>
  </si>
  <si>
    <t>FCN7812568</t>
  </si>
  <si>
    <t>FCGWN08342473</t>
  </si>
  <si>
    <t>TN24AG6180</t>
  </si>
  <si>
    <t>FLSCNISD6K0MLHJP</t>
  </si>
  <si>
    <t>FLS5A9503256</t>
  </si>
  <si>
    <t>7ZN5H27H, 5Q7J7WHB</t>
  </si>
  <si>
    <t>10/07/2026 09:45 PM IST</t>
  </si>
  <si>
    <t>KA13D1416</t>
  </si>
  <si>
    <t>2C64WM5C, 8K9HHSAL</t>
  </si>
  <si>
    <t>17/07/2026 03:00 PM IST</t>
  </si>
  <si>
    <t>KA04AC7029</t>
  </si>
  <si>
    <t>FLSCNISD6ERD5ISH</t>
  </si>
  <si>
    <t xml:space="preserve">FLS0BB0EDDA0,FLS7DECF3E75,FLSE798C4559
</t>
  </si>
  <si>
    <t>UP38T6473</t>
  </si>
  <si>
    <t>Not Delivered</t>
  </si>
  <si>
    <t>Retund unloaded on 23/07/2026</t>
  </si>
  <si>
    <t>NAJUNDESHWARA ROADLINES</t>
  </si>
  <si>
    <t>FLSCNISD6PNE56O2 ,  FLSCNISD6OXQEXUY</t>
  </si>
  <si>
    <t>FLS1873B78CC,FLSF387C114A,FLS1F5620723,FLS69B5237F8,FLS976CD9CC3</t>
  </si>
  <si>
    <t>MH43CQ4420</t>
  </si>
  <si>
    <t>FLSCNISD6OQ1IUFV</t>
  </si>
  <si>
    <t>FLSC1CF1C61D, FLS75AF6A62C, FLS158DB4FA0, FLS0B82F93A2</t>
  </si>
  <si>
    <t>Hyderabad Medchal 01</t>
  </si>
  <si>
    <t>Hyadrabad</t>
  </si>
  <si>
    <t>KA53AC0501</t>
  </si>
  <si>
    <t>Delivered on 21/07/2026</t>
  </si>
  <si>
    <t>FCN7884945, FCN7884908</t>
  </si>
  <si>
    <t xml:space="preserve">FBVWN08344150, FBVWN08308355
</t>
  </si>
  <si>
    <t>KA51AH2746</t>
  </si>
  <si>
    <t xml:space="preserve">Vehicle Hold Due to Barcode Label Issue and 54 box not accepted </t>
  </si>
  <si>
    <t>Fast India Logistics</t>
  </si>
  <si>
    <t>5ENGAZ6S , 71HVJMOJ , 6BII1PKD</t>
  </si>
  <si>
    <t>25/07/2026 09:30 PM IST</t>
  </si>
  <si>
    <t>KA597622</t>
  </si>
  <si>
    <t>FLSCNISD64IIQUOB</t>
  </si>
  <si>
    <t>FLS4CF2E7E3F</t>
  </si>
  <si>
    <t>KA11D0507</t>
  </si>
  <si>
    <t>68RMUSEI, 7FW93FOS</t>
  </si>
  <si>
    <t>23/07/2026 05:00 AM IST</t>
  </si>
  <si>
    <t>68RMUSEI</t>
  </si>
  <si>
    <t>KA52B9786</t>
  </si>
  <si>
    <t>26/07/2026 03:00 PM IST</t>
  </si>
  <si>
    <t>KA52C2799</t>
  </si>
  <si>
    <t>25/07/2026 11:30 AM IST</t>
  </si>
  <si>
    <t>KA20AC9171</t>
  </si>
  <si>
    <t>KL09AP6231</t>
  </si>
  <si>
    <t xml:space="preserve">11 box wet condition </t>
  </si>
  <si>
    <t>Need to raise a credit note</t>
  </si>
  <si>
    <t>FLSCNISD6GUM5OXR</t>
  </si>
  <si>
    <t>FLSE7E3F900E</t>
  </si>
  <si>
    <t>KA21A4518</t>
  </si>
  <si>
    <t>FLSCNISD61IOVVUK</t>
  </si>
  <si>
    <t>FLSC1C809657, FLSBF7B381A1, FLSD47B2FD59</t>
  </si>
  <si>
    <t>TN05DA1495</t>
  </si>
  <si>
    <t>88 box not accepted due to Pouch label not pasted</t>
  </si>
  <si>
    <t>3CPLLMTT</t>
  </si>
  <si>
    <t>28/07/2026 05:00 AM IST</t>
  </si>
  <si>
    <t>KA52C8569</t>
  </si>
  <si>
    <t>Fast India Logisitcs</t>
  </si>
  <si>
    <t>25OA71JR, 1B7HMHRV</t>
  </si>
  <si>
    <t>KA52A7195</t>
  </si>
  <si>
    <t>Improper SOP Loading</t>
  </si>
  <si>
    <t>5B95TUNH</t>
  </si>
  <si>
    <t>26/07/2026 08:45 PM IST</t>
  </si>
  <si>
    <t>KA01AS7406</t>
  </si>
  <si>
    <t>25OA71JR, 4FTRAUJM</t>
  </si>
  <si>
    <t>01/08/2026 11:30 AM IST</t>
  </si>
  <si>
    <t>FLSCNISD6LBOKKAZ</t>
  </si>
  <si>
    <t>FLSA139BB21C</t>
  </si>
  <si>
    <t>31st Jul 2026, 7:00:00 am</t>
  </si>
  <si>
    <t>6 Box Shortage</t>
  </si>
  <si>
    <t>FLSCNISD6JBUCRHA</t>
  </si>
  <si>
    <t>FLS72D4CD367</t>
  </si>
  <si>
    <t>UP21ET9671</t>
  </si>
  <si>
    <t>FLSCNISD6SFSP9V6</t>
  </si>
  <si>
    <t>FLS80A7DAA8C</t>
  </si>
  <si>
    <t>KA21B6701</t>
  </si>
  <si>
    <t>5TJH6KTB , 38UW1R4G</t>
  </si>
  <si>
    <t>07/08/2026 03:00 PM IST</t>
  </si>
  <si>
    <t>KA52C4522</t>
  </si>
  <si>
    <t>ISA units and 10 boxes were sent in excess.</t>
  </si>
  <si>
    <t>1E5P6PFN , 38UW1R4G</t>
  </si>
  <si>
    <t>07/08/2026 09:30 PM IST</t>
  </si>
  <si>
    <t>TN88L3854</t>
  </si>
  <si>
    <t>25OA71JR , 1B7HMHRV</t>
  </si>
  <si>
    <t>06/08/2026 05:00 AM IST</t>
  </si>
  <si>
    <t>RJ32GD6991</t>
  </si>
  <si>
    <t>FLSCNISD6IEMQU3J</t>
  </si>
  <si>
    <t>KA02AL9831</t>
  </si>
  <si>
    <t>FLSCNISD6PXOHPOP</t>
  </si>
  <si>
    <t>FLS447012B3A</t>
  </si>
  <si>
    <t>KA53AA2978</t>
  </si>
  <si>
    <t>3299118E</t>
  </si>
  <si>
    <t>12/08/2026 11:30 AM IST</t>
  </si>
  <si>
    <t>KA01AR9985</t>
  </si>
  <si>
    <t>FLSCNISD6QAOSFFZ</t>
  </si>
  <si>
    <t>FLS8A8B5A847</t>
  </si>
  <si>
    <t xml:space="preserve">7K7EPTOB </t>
  </si>
  <si>
    <t>19/08/2026 06:45 PM IST</t>
  </si>
  <si>
    <t>HR55AN2721</t>
  </si>
  <si>
    <t>3SCQP7GC</t>
  </si>
  <si>
    <t>20/08/2026 09:30 PM IST</t>
  </si>
  <si>
    <t>Appointment Cancelled</t>
  </si>
  <si>
    <t>FLSCNISD6NXFU6R2</t>
  </si>
  <si>
    <t>FLS327FD30F1</t>
  </si>
  <si>
    <t>KA01AR0515</t>
  </si>
  <si>
    <t>FLSEE80DA7C4</t>
  </si>
  <si>
    <t>FLSCNISD6QXSR8AS</t>
  </si>
  <si>
    <t>FLS6321B2B00</t>
  </si>
  <si>
    <t>KA05AP0778</t>
  </si>
  <si>
    <t>1U5NR8ZV , 1AV2AU4K , 2575L4MT</t>
  </si>
  <si>
    <t>28/08/2026 06:45 PM IST</t>
  </si>
  <si>
    <t>KA01AE0698</t>
  </si>
  <si>
    <t xml:space="preserve">2575L4MT </t>
  </si>
  <si>
    <t>TN54AC1685</t>
  </si>
  <si>
    <t>KA52C7906</t>
  </si>
  <si>
    <t>FLSCNISD6BFWYFSS</t>
  </si>
  <si>
    <t>FLSA6703257D</t>
  </si>
  <si>
    <t>22nd Aug 2026, 11:00:00 am</t>
  </si>
  <si>
    <t>TG17T4018</t>
  </si>
  <si>
    <t>FLSCNISD6OVWQFPH</t>
  </si>
  <si>
    <t>FLS5835D2906</t>
  </si>
  <si>
    <t>31st Aug 2026, 9:00:00 am</t>
  </si>
  <si>
    <t>Delivered on 01/09/2026</t>
  </si>
  <si>
    <t>FLSCNISD6AX1QC0Q</t>
  </si>
  <si>
    <t xml:space="preserve">FLS9500922C3 </t>
  </si>
  <si>
    <t>23rd Aug 2026, 11:00:00 am</t>
  </si>
  <si>
    <t>KA51AK0769</t>
  </si>
  <si>
    <t>FLSCNISD6JET5K8D</t>
  </si>
  <si>
    <t>FLS75D124140</t>
  </si>
  <si>
    <t>31st Aug 2026, 7:00:00</t>
  </si>
  <si>
    <t>Hyd Gsh Wh Nl 01 Nl</t>
  </si>
  <si>
    <t>KA51A1192</t>
  </si>
  <si>
    <t>FLSCNISD6O1QTFUP</t>
  </si>
  <si>
    <t>FLSBB07B71DB</t>
  </si>
  <si>
    <t>TN12AS9372</t>
  </si>
  <si>
    <t>2Q2HNC9U , 55GEATQW</t>
  </si>
  <si>
    <t>04/09/2026 03:00 PM IST</t>
  </si>
  <si>
    <t>KA04AC4462</t>
  </si>
  <si>
    <t>55GEATQW</t>
  </si>
  <si>
    <t>06/09/2026 11:30 AM IST</t>
  </si>
  <si>
    <t>KA598148</t>
  </si>
  <si>
    <t>FLSCNISD6DRHQLMX</t>
  </si>
  <si>
    <t>FLS945172FC4, FLS6F6ABD69B, FLS4A2FF1404</t>
  </si>
  <si>
    <t>28th Aug 2026, 1:00:00 pm</t>
  </si>
  <si>
    <t>Bhi Pad Wh Nl 01 Nl</t>
  </si>
  <si>
    <t>DD01T9015</t>
  </si>
  <si>
    <t>Space issue vehicle has been moved to Vasai.</t>
  </si>
  <si>
    <t>FLSCNISD643O7XMN</t>
  </si>
  <si>
    <t>FLS4A2FF1404, FLS945172FC4</t>
  </si>
  <si>
    <t>30th Aug 2026, 10:00:00 am</t>
  </si>
  <si>
    <t>MH46BF0252</t>
  </si>
  <si>
    <t>FLSCNISD6SZ7TDEI</t>
  </si>
  <si>
    <t>31st Aug 2026, 12:00:00 pm</t>
  </si>
  <si>
    <t>DD01M9515</t>
  </si>
  <si>
    <t xml:space="preserve">7G254B2G </t>
  </si>
  <si>
    <t>13/09/2026 06:45 PM IST</t>
  </si>
  <si>
    <t>KA04D3644</t>
  </si>
  <si>
    <t>While en route, the vehicle developed an engine issue</t>
  </si>
  <si>
    <t>7G254B2G , 2JP1ETIJ</t>
  </si>
  <si>
    <t>GJ15AX5026</t>
  </si>
  <si>
    <t>Delivered on 16/09/2026</t>
  </si>
  <si>
    <t>FLSCNISD6EKYGZZ6</t>
  </si>
  <si>
    <t>FLSHVGLR0SD6</t>
  </si>
  <si>
    <t>hyd_gsh_wh_nl_01nl</t>
  </si>
  <si>
    <t xml:space="preserve">4BKJDNIF </t>
  </si>
  <si>
    <t>20/09/2026 06:45 PM IST</t>
  </si>
  <si>
    <t>KA51AM2376</t>
  </si>
  <si>
    <t>TN88H1354</t>
  </si>
  <si>
    <t>Due to the appointment being modified, the dispatch vehicle has to return.</t>
  </si>
  <si>
    <t>21/09/2026 07:00 PM IS</t>
  </si>
  <si>
    <t>21/09/2026 06:45 PM IST</t>
  </si>
  <si>
    <t>21/09/2026 01:15 PM IST</t>
  </si>
  <si>
    <t>FLSCNISD6ARA5S7U</t>
  </si>
  <si>
    <t>FLSJX4GD2TP9</t>
  </si>
  <si>
    <t>KA01AA5730</t>
  </si>
  <si>
    <t>FLSCNISD6F1USIGB</t>
  </si>
  <si>
    <t>FLS2F3425926/FLS8A974ACC0</t>
  </si>
  <si>
    <t>6th Sep, 2026</t>
  </si>
  <si>
    <t>KA56A0797</t>
  </si>
  <si>
    <t>Due to space constraints, the vehicle has been returned to Mysore.</t>
  </si>
  <si>
    <t>FLSCNISD63PSMDP7</t>
  </si>
  <si>
    <t>FLSBB8QVHZ83/FLSOKM5KOW75</t>
  </si>
  <si>
    <t>9th Sep, 2026</t>
  </si>
  <si>
    <t>KA53AC9366</t>
  </si>
  <si>
    <t>16B47DDW</t>
  </si>
  <si>
    <t>27/09/2026 03:00 PM IST</t>
  </si>
  <si>
    <t>33GS4X5E</t>
  </si>
  <si>
    <t>30/09/2026 03:00 PM IST</t>
  </si>
  <si>
    <t>3HVCJF5O , 33GS4X5E</t>
  </si>
  <si>
    <t>18/09/2026 08:45 AM IST</t>
  </si>
  <si>
    <t>KA52B2183</t>
  </si>
  <si>
    <t>Delivered on 18/09/2026.</t>
  </si>
  <si>
    <t>FLSCNISD6BPWEEAR</t>
  </si>
  <si>
    <t>FLSND8GHA5JO</t>
  </si>
  <si>
    <t>11th Sep 2026, 9:00:00 am</t>
  </si>
  <si>
    <t>KA02AM5441</t>
  </si>
  <si>
    <t xml:space="preserve">4S2BJXYY </t>
  </si>
  <si>
    <t>01/10/2026 03:15 IST</t>
  </si>
  <si>
    <t>KA52B6485</t>
  </si>
  <si>
    <t>Delivered on 01/10/2026.</t>
  </si>
  <si>
    <t>4JTWOO3T</t>
  </si>
  <si>
    <t>13/10/2026 06:00 PM IST</t>
  </si>
  <si>
    <t>5VDQRWJX</t>
  </si>
  <si>
    <t>13/10/2026 04:30 PM IST</t>
  </si>
  <si>
    <t>FLSCNISD6SWQHBP2</t>
  </si>
  <si>
    <t>FLSLTD5MWPEG</t>
  </si>
  <si>
    <t>KA05AD2066</t>
  </si>
  <si>
    <t>Delivered on 20/09/2026.</t>
  </si>
  <si>
    <t>2N1RN7GT</t>
  </si>
  <si>
    <t>14/10/2026 04:15 PM IST</t>
  </si>
  <si>
    <t>FLSCNISD6QGLDDME</t>
  </si>
  <si>
    <t>FLSLHM0MXN6M</t>
  </si>
  <si>
    <t>24th Sep 2026, 9:00:00 am</t>
  </si>
  <si>
    <t>KA01AG2224</t>
  </si>
  <si>
    <t>On time Delivered</t>
  </si>
  <si>
    <t>FLSCNISD6JRBO72D</t>
  </si>
  <si>
    <t>FLS3LOBNUDDG</t>
  </si>
  <si>
    <t>FLSCNISD6OLONWSR</t>
  </si>
  <si>
    <t>FLSLC9APMOSH</t>
  </si>
  <si>
    <t>26th Sep 2026, 9:00:00 am</t>
  </si>
  <si>
    <t>KA11D3748</t>
  </si>
  <si>
    <t>7SBA3ILL , 3HVCJF5O , 18OELEUM</t>
  </si>
  <si>
    <t>18/10/2026 04:15 PM IST</t>
  </si>
  <si>
    <t>4ECMSZTR , 7G254B2G , 7NWNNYDG , 55GEATQW</t>
  </si>
  <si>
    <t>20/10/2026 04:30 PM IST</t>
  </si>
  <si>
    <t>7Z76JQGL</t>
  </si>
  <si>
    <t>FLSCNISD63DHWE7Y</t>
  </si>
  <si>
    <t>28th Sep 2026, 2:00:00 pm</t>
  </si>
  <si>
    <t>KA597938</t>
  </si>
  <si>
    <t>Delivered on 30th Sep</t>
  </si>
  <si>
    <t>FLSCNISD6KVADKAA</t>
  </si>
  <si>
    <t>FLSHS2M20KBZ</t>
  </si>
  <si>
    <t>TN54W0330</t>
  </si>
  <si>
    <t>FLSCNISD6RXA6S8R</t>
  </si>
  <si>
    <t>FLS8A8SBQH1Y</t>
  </si>
  <si>
    <t>FLSCNISD6LZBICQM</t>
  </si>
  <si>
    <t>FLS0DTCVBEVW</t>
  </si>
  <si>
    <t>Delivered on 02nd Sep</t>
  </si>
  <si>
    <t>FLSCNISD6ZI98FR9</t>
  </si>
  <si>
    <t>FLS2SAQ7BI1I</t>
  </si>
  <si>
    <t>KA03D6212</t>
  </si>
  <si>
    <t>FLSCNISD6R4FYEBG</t>
  </si>
  <si>
    <t>FLS4Z6Y3Y150</t>
  </si>
  <si>
    <t>MH48CB6344</t>
  </si>
  <si>
    <t>Shipped from Vasai &amp; Delivered 01/10/2026</t>
  </si>
  <si>
    <t>FLSCNISD6F7Y6K7P</t>
  </si>
  <si>
    <t>FLSSO8YIFZOI</t>
  </si>
  <si>
    <t>KA09AC0702</t>
  </si>
  <si>
    <t>FLSCNISD6VAWS0A5</t>
  </si>
  <si>
    <t>FLSN024S7XY5</t>
  </si>
  <si>
    <t>FLSCNISD6RZGUDZY</t>
  </si>
  <si>
    <t>FLSEROJRD5YB</t>
  </si>
  <si>
    <t>FLSCNISD64FIZCAU</t>
  </si>
  <si>
    <t>FLSCNISD6SB0YO5N</t>
  </si>
  <si>
    <t>FLSCNISD6WSHVWWD</t>
  </si>
  <si>
    <t>FLSXV8TYYY2R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</si>
</sst>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-m-yy"/>
    <numFmt numFmtId="166" formatCode="d/m/yy"/>
    <numFmt numFmtId="167" formatCode="dd-mm-yy"/>
    <numFmt numFmtId="168" formatCode="dd-mm-yyyy hh:mm"/>
    <numFmt numFmtId="169" formatCode="dd/mm/yyyy"/>
    <numFmt numFmtId="170" formatCode="dd/MM/yyyy HH:mm:ss"/>
    <numFmt numFmtId="171" formatCode="dd/mm/yyyy hh:mm"/>
  </numFmts>
  <fonts count="48">
    <font>
      <sz val="10.0"/>
      <color rgb="FF000000"/>
      <name val="Arial"/>
      <scheme val="minor"/>
    </font>
    <font>
      <color rgb="FF222222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rgb="FF1155CC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/>
    <font>
      <b/>
      <sz val="11.0"/>
      <color rgb="FFA64D79"/>
      <name val="Arial"/>
      <scheme val="minor"/>
    </font>
    <font>
      <sz val="11.0"/>
      <color rgb="FF0F1111"/>
      <name val="Arial"/>
    </font>
    <font>
      <u/>
      <sz val="11.0"/>
      <color rgb="FF0563C1"/>
      <name val="Calibri"/>
    </font>
    <font>
      <sz val="9.0"/>
      <color rgb="FF181F25"/>
      <name val="&quot;Open Sans&quot;"/>
    </font>
    <font>
      <u/>
      <sz val="11.0"/>
      <color rgb="FF0563C1"/>
      <name val="Calibri"/>
    </font>
    <font>
      <sz val="12.0"/>
      <color rgb="FF000000"/>
      <name val="Arial"/>
    </font>
    <font>
      <sz val="9.0"/>
      <color rgb="FF525D66"/>
      <name val="&quot;Helvetica Neue&quot;"/>
    </font>
    <font>
      <sz val="9.0"/>
      <color rgb="FF181F25"/>
      <name val="&quot;Helvetica Neue&quot;"/>
    </font>
    <font>
      <sz val="11.0"/>
      <color rgb="FF0F1111"/>
      <name val="&quot;Amazon Ember&quot;"/>
    </font>
    <font>
      <sz val="17.0"/>
      <color rgb="FF1F1F1F"/>
      <name val="&quot;Google Sans&quot;"/>
    </font>
    <font>
      <color theme="1"/>
      <name val="&quot;Times New Roman&quot;"/>
    </font>
    <font>
      <b/>
      <sz val="11.0"/>
      <color theme="8"/>
      <name val="Arial"/>
      <scheme val="minor"/>
    </font>
    <font>
      <sz val="9.0"/>
      <color rgb="FF181F25"/>
      <name val="Arial"/>
    </font>
    <font>
      <i/>
      <color theme="1"/>
      <name val="Arial"/>
      <scheme val="minor"/>
    </font>
    <font>
      <color rgb="FF02060C"/>
      <name val="Arial"/>
    </font>
    <font>
      <color rgb="FF02060C"/>
      <name val="Gilroy"/>
    </font>
    <font>
      <sz val="12.0"/>
      <color rgb="FF000000"/>
      <name val="-apple-system"/>
    </font>
    <font>
      <color rgb="FF000000"/>
      <name val="Arial"/>
    </font>
    <font>
      <color rgb="FFFF0000"/>
      <name val="Arial"/>
      <scheme val="minor"/>
    </font>
    <font>
      <sz val="9.0"/>
      <color rgb="FFFF0000"/>
      <name val="&quot;Open Sans&quot;"/>
    </font>
    <font>
      <sz val="11.0"/>
      <color rgb="FFFF0000"/>
      <name val="Calibri"/>
    </font>
    <font>
      <sz val="9.0"/>
      <color rgb="FFFF0000"/>
      <name val="Arial"/>
    </font>
    <font>
      <u/>
      <sz val="10.0"/>
      <color rgb="FF0000FF"/>
      <name val="Arial"/>
    </font>
    <font>
      <sz val="9.0"/>
      <color rgb="FF0F1111"/>
      <name val="Arial"/>
    </font>
    <font>
      <sz val="11.0"/>
      <color rgb="FF1F1F1F"/>
      <name val="&quot;Google Sans&quot;"/>
    </font>
    <font>
      <color rgb="FF000000"/>
      <name val="Arial"/>
      <scheme val="minor"/>
    </font>
    <font>
      <sz val="10.0"/>
      <color rgb="FF0F1111"/>
      <name val="Arial"/>
    </font>
    <font>
      <sz val="10.0"/>
      <color rgb="FF1F1F1F"/>
      <name val="&quot;Google Sans&quot;"/>
    </font>
    <font>
      <u/>
      <sz val="11.0"/>
      <color rgb="FF0000FF"/>
      <name val="Calibri"/>
    </font>
    <font>
      <sz val="9.0"/>
      <color rgb="FFFF0000"/>
      <name val="&quot;Helvetica Neue&quot;"/>
    </font>
    <font>
      <sz val="9.0"/>
      <color rgb="FF000000"/>
      <name val="&quot;Helvetica Neue&quot;"/>
    </font>
    <font>
      <color theme="1"/>
      <name val="Arial"/>
    </font>
    <font>
      <sz val="10.0"/>
      <color rgb="FF1F1F1F"/>
      <name val="Arial"/>
      <scheme val="minor"/>
    </font>
    <font>
      <sz val="11.0"/>
      <color rgb="FF0D0D0D"/>
      <name val="-apple-system-body"/>
    </font>
    <font>
      <color rgb="FFFFFFFF"/>
      <name val="Arial"/>
      <scheme val="minor"/>
    </font>
    <font>
      <sz val="11.0"/>
      <color rgb="FF0D0D0D"/>
      <name val="Arial"/>
    </font>
    <font>
      <color rgb="FF21212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FFE699"/>
        <bgColor rgb="FFFFE699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0F8FF"/>
        <bgColor rgb="FFF0F8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bottom style="thin">
        <color rgb="FF02060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readingOrder="0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left"/>
    </xf>
    <xf borderId="1" fillId="3" fontId="3" numFmtId="0" xfId="0" applyAlignment="1" applyBorder="1" applyFill="1" applyFont="1">
      <alignment horizontal="center" readingOrder="0" shrinkToFit="0" wrapText="0"/>
    </xf>
    <xf borderId="2" fillId="4" fontId="4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left" readingOrder="0"/>
    </xf>
    <xf borderId="2" fillId="4" fontId="4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2" fillId="3" fontId="4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horizontal="center" readingOrder="0" shrinkToFit="0" wrapText="0"/>
    </xf>
    <xf borderId="0" fillId="5" fontId="3" numFmtId="0" xfId="0" applyAlignment="1" applyFill="1" applyFont="1">
      <alignment horizontal="left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4" fillId="6" fontId="3" numFmtId="0" xfId="0" applyAlignment="1" applyBorder="1" applyFill="1" applyFont="1">
      <alignment horizontal="left" readingOrder="0" shrinkToFit="0" vertical="center" wrapText="0"/>
    </xf>
    <xf borderId="4" fillId="0" fontId="6" numFmtId="164" xfId="0" applyAlignment="1" applyBorder="1" applyFont="1" applyNumberFormat="1">
      <alignment horizontal="left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6" fontId="5" numFmtId="0" xfId="0" applyAlignment="1" applyBorder="1" applyFill="1" applyFont="1">
      <alignment horizontal="left" readingOrder="0" vertical="center"/>
    </xf>
    <xf borderId="5" fillId="0" fontId="7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left" readingOrder="0" shrinkToFit="0" vertical="center" wrapText="0"/>
    </xf>
    <xf borderId="2" fillId="0" fontId="8" numFmtId="0" xfId="0" applyAlignment="1" applyBorder="1" applyFont="1">
      <alignment horizontal="left"/>
    </xf>
    <xf borderId="4" fillId="6" fontId="5" numFmtId="0" xfId="0" applyAlignment="1" applyBorder="1" applyFill="1" applyFont="1">
      <alignment horizontal="left" readingOrder="0" shrinkToFit="0" vertical="center" wrapText="1"/>
    </xf>
    <xf borderId="2" fillId="0" fontId="9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 shrinkToFit="0" vertical="bottom" wrapText="0"/>
    </xf>
    <xf borderId="4" fillId="0" fontId="2" numFmtId="0" xfId="0" applyAlignment="1" applyBorder="1" applyFont="1">
      <alignment horizontal="left"/>
    </xf>
    <xf borderId="4" fillId="7" fontId="6" numFmtId="0" xfId="0" applyAlignment="1" applyBorder="1" applyFill="1" applyFont="1">
      <alignment horizontal="left" readingOrder="0" shrinkToFit="0" vertical="center" wrapText="0"/>
    </xf>
    <xf borderId="6" fillId="0" fontId="10" numFmtId="0" xfId="0" applyBorder="1" applyFont="1"/>
    <xf borderId="5" fillId="0" fontId="11" numFmtId="0" xfId="0" applyAlignment="1" applyBorder="1" applyFont="1">
      <alignment horizontal="center" readingOrder="0" vertical="center"/>
    </xf>
    <xf borderId="4" fillId="7" fontId="12" numFmtId="0" xfId="0" applyAlignment="1" applyBorder="1" applyFill="1" applyFont="1">
      <alignment horizontal="left" readingOrder="0" shrinkToFit="0" vertical="center" wrapText="0"/>
    </xf>
    <xf borderId="7" fillId="0" fontId="13" numFmtId="0" xfId="0" applyAlignment="1" applyBorder="1" applyFont="1">
      <alignment horizontal="left" readingOrder="0" vertical="bottom"/>
    </xf>
    <xf borderId="4" fillId="5" fontId="5" numFmtId="0" xfId="0" applyAlignment="1" applyBorder="1" applyFill="1" applyFont="1">
      <alignment horizontal="left" readingOrder="0"/>
    </xf>
    <xf borderId="2" fillId="0" fontId="2" numFmtId="0" xfId="0" applyBorder="1" applyFont="1"/>
    <xf borderId="8" fillId="0" fontId="10" numFmtId="0" xfId="0" applyBorder="1" applyFont="1"/>
    <xf borderId="4" fillId="0" fontId="6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ill="1" applyFont="1">
      <alignment horizontal="left" readingOrder="0" vertical="center"/>
    </xf>
    <xf borderId="4" fillId="0" fontId="14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center"/>
    </xf>
    <xf borderId="4" fillId="0" fontId="6" numFmtId="0" xfId="0" applyAlignment="1" applyBorder="1" applyFont="1">
      <alignment horizontal="left" readingOrder="0" shrinkToFit="0" vertical="bottom" wrapText="0"/>
    </xf>
    <xf borderId="4" fillId="5" fontId="2" numFmtId="0" xfId="0" applyAlignment="1" applyBorder="1" applyFill="1" applyFont="1">
      <alignment horizontal="left" vertical="center"/>
    </xf>
    <xf borderId="4" fillId="0" fontId="6" numFmtId="164" xfId="0" applyAlignment="1" applyBorder="1" applyFont="1" applyNumberFormat="1">
      <alignment horizontal="left" readingOrder="0" shrinkToFit="0" vertical="bottom" wrapText="0"/>
    </xf>
    <xf borderId="4" fillId="7" fontId="2" numFmtId="0" xfId="0" applyAlignment="1" applyBorder="1" applyFill="1" applyFont="1">
      <alignment horizontal="left" vertical="center"/>
    </xf>
    <xf borderId="4" fillId="7" fontId="2" numFmtId="0" xfId="0" applyAlignment="1" applyBorder="1" applyFill="1" applyFont="1">
      <alignment horizontal="left" shrinkToFit="0" vertical="center" wrapText="1"/>
    </xf>
    <xf borderId="4" fillId="0" fontId="2" numFmtId="164" xfId="0" applyAlignment="1" applyBorder="1" applyFont="1" applyNumberForma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4" fillId="0" fontId="2" numFmtId="0" xfId="0" applyAlignment="1" applyBorder="1" applyFont="1">
      <alignment horizontal="left" readingOrder="0"/>
    </xf>
    <xf borderId="2" fillId="3" fontId="3" numFmtId="0" xfId="0" applyAlignment="1" applyBorder="1" applyFill="1" applyFont="1">
      <alignment horizontal="left" readingOrder="0" shrinkToFit="0" vertical="center" wrapText="0"/>
    </xf>
    <xf borderId="4" fillId="0" fontId="6" numFmtId="0" xfId="0" applyAlignment="1" applyBorder="1" applyFont="1">
      <alignment horizontal="left" readingOrder="0" shrinkToFit="0" vertical="center" wrapText="0"/>
    </xf>
    <xf borderId="2" fillId="0" fontId="8" numFmtId="0" xfId="0" applyAlignment="1" applyBorder="1" applyFont="1">
      <alignment horizontal="left" readingOrder="0"/>
    </xf>
    <xf borderId="9" fillId="0" fontId="10" numFmtId="0" xfId="0" applyBorder="1" applyFont="1"/>
    <xf borderId="2" fillId="3" fontId="5" numFmtId="0" xfId="0" applyAlignment="1" applyBorder="1" applyFill="1" applyFont="1">
      <alignment horizontal="left" readingOrder="0" vertical="center"/>
    </xf>
    <xf borderId="7" fillId="2" fontId="15" numFmtId="0" xfId="0" applyAlignment="1" applyBorder="1" applyFill="1" applyFont="1">
      <alignment horizontal="left" readingOrder="0" vertical="bottom"/>
    </xf>
    <xf borderId="0" fillId="0" fontId="2" numFmtId="0" xfId="0" applyAlignment="1" applyFont="1">
      <alignment horizontal="center" readingOrder="0" shrinkToFit="0" vertical="center" wrapText="1"/>
    </xf>
    <xf borderId="10" fillId="2" fontId="16" numFmtId="0" xfId="0" applyAlignment="1" applyBorder="1" applyFill="1" applyFont="1">
      <alignment horizontal="center" readingOrder="0" shrinkToFit="0" vertical="center" wrapText="1"/>
    </xf>
    <xf borderId="3" fillId="0" fontId="6" numFmtId="164" xfId="0" applyAlignment="1" applyBorder="1" applyFont="1" applyNumberFormat="1">
      <alignment horizontal="left" readingOrder="0" shrinkToFit="0" vertical="center" wrapText="0"/>
    </xf>
    <xf borderId="0" fillId="2" fontId="17" numFmtId="0" xfId="0" applyAlignment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/>
    </xf>
    <xf borderId="0" fillId="2" fontId="18" numFmtId="0" xfId="0" applyAlignment="1" applyFill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4" fillId="2" fontId="19" numFmtId="0" xfId="0" applyAlignment="1" applyBorder="1" applyFill="1" applyFont="1">
      <alignment horizontal="center" readingOrder="0"/>
    </xf>
    <xf borderId="4" fillId="0" fontId="2" numFmtId="165" xfId="0" applyAlignment="1" applyBorder="1" applyFont="1" applyNumberFormat="1">
      <alignment horizontal="left" readingOrder="0" vertical="center"/>
    </xf>
    <xf borderId="0" fillId="2" fontId="17" numFmtId="0" xfId="0" applyFill="1" applyFont="1"/>
    <xf borderId="4" fillId="0" fontId="2" numFmtId="0" xfId="0" applyAlignment="1" applyBorder="1" applyFont="1">
      <alignment horizontal="left" readingOrder="0" vertical="center"/>
    </xf>
    <xf borderId="11" fillId="0" fontId="10" numFmtId="0" xfId="0" applyBorder="1" applyFont="1"/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readingOrder="0"/>
    </xf>
    <xf borderId="0" fillId="2" fontId="20" numFmtId="0" xfId="0" applyAlignment="1" applyFill="1" applyFont="1">
      <alignment readingOrder="0"/>
    </xf>
    <xf borderId="4" fillId="0" fontId="2" numFmtId="0" xfId="0" applyAlignment="1" applyBorder="1" applyFont="1">
      <alignment readingOrder="0"/>
    </xf>
    <xf borderId="4" fillId="0" fontId="21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0" fontId="2" numFmtId="0" xfId="0" applyAlignment="1" applyBorder="1" applyFont="1">
      <alignment readingOrder="0"/>
    </xf>
    <xf borderId="4" fillId="0" fontId="2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4" fillId="0" fontId="6" numFmtId="166" xfId="0" applyAlignment="1" applyBorder="1" applyFont="1" applyNumberFormat="1">
      <alignment horizontal="left" readingOrder="0" shrinkToFit="0" vertical="center" wrapText="0"/>
    </xf>
    <xf borderId="4" fillId="0" fontId="21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left" readingOrder="0" shrinkToFit="0" vertical="center" wrapText="0"/>
    </xf>
    <xf borderId="4" fillId="0" fontId="2" numFmtId="164" xfId="0" applyAlignment="1" applyBorder="1" applyFont="1" applyNumberFormat="1">
      <alignment readingOrder="0"/>
    </xf>
    <xf borderId="4" fillId="2" fontId="18" numFmtId="0" xfId="0" applyAlignment="1" applyBorder="1" applyFill="1" applyFont="1">
      <alignment readingOrder="0"/>
    </xf>
    <xf borderId="4" fillId="0" fontId="2" numFmtId="167" xfId="0" applyAlignment="1" applyBorder="1" applyFont="1" applyNumberFormat="1">
      <alignment horizontal="left" readingOrder="0" vertical="center"/>
    </xf>
    <xf borderId="4" fillId="0" fontId="14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24" numFmtId="0" xfId="0" applyAlignment="1" applyBorder="1" applyFont="1">
      <alignment readingOrder="0"/>
    </xf>
    <xf borderId="4" fillId="2" fontId="23" numFmtId="0" xfId="0" applyAlignment="1" applyBorder="1" applyFill="1" applyFont="1">
      <alignment readingOrder="0"/>
    </xf>
    <xf borderId="4" fillId="2" fontId="6" numFmtId="0" xfId="0" applyAlignment="1" applyBorder="1" applyFill="1" applyFont="1">
      <alignment readingOrder="0"/>
    </xf>
    <xf borderId="4" fillId="0" fontId="6" numFmtId="164" xfId="0" applyAlignment="1" applyBorder="1" applyFont="1" applyNumberFormat="1">
      <alignment horizontal="right" readingOrder="0" shrinkToFit="0" vertical="bottom" wrapText="0"/>
    </xf>
    <xf borderId="4" fillId="2" fontId="25" numFmtId="0" xfId="0" applyAlignment="1" applyBorder="1" applyFill="1" applyFont="1">
      <alignment horizontal="left" readingOrder="0"/>
    </xf>
    <xf borderId="4" fillId="2" fontId="26" numFmtId="0" xfId="0" applyAlignment="1" applyBorder="1" applyFill="1" applyFont="1">
      <alignment readingOrder="0"/>
    </xf>
    <xf borderId="4" fillId="2" fontId="27" numFmtId="0" xfId="0" applyAlignment="1" applyBorder="1" applyFill="1" applyFont="1">
      <alignment horizontal="left" readingOrder="0"/>
    </xf>
    <xf borderId="4" fillId="0" fontId="8" numFmtId="0" xfId="0" applyAlignment="1" applyBorder="1" applyFont="1">
      <alignment horizontal="left"/>
    </xf>
    <xf borderId="3" fillId="0" fontId="2" numFmtId="0" xfId="0" applyAlignment="1" applyBorder="1" applyFont="1">
      <alignment readingOrder="0"/>
    </xf>
    <xf borderId="4" fillId="2" fontId="18" numFmtId="0" xfId="0" applyAlignment="1" applyBorder="1" applyFill="1" applyFont="1">
      <alignment horizontal="left" readingOrder="0" vertical="center"/>
    </xf>
    <xf borderId="4" fillId="0" fontId="28" numFmtId="0" xfId="0" applyAlignment="1" applyBorder="1" applyFont="1">
      <alignment horizontal="center" readingOrder="0" shrinkToFit="0" vertical="bottom" wrapText="0"/>
    </xf>
    <xf borderId="4" fillId="2" fontId="6" numFmtId="0" xfId="0" applyAlignment="1" applyBorder="1" applyFill="1" applyFont="1">
      <alignment horizontal="left" readingOrder="0" shrinkToFit="0" vertical="center" wrapText="0"/>
    </xf>
    <xf borderId="4" fillId="0" fontId="23" numFmtId="0" xfId="0" applyAlignment="1" applyBorder="1" applyFont="1">
      <alignment readingOrder="0" shrinkToFit="0" vertical="bottom" wrapText="0"/>
    </xf>
    <xf borderId="4" fillId="0" fontId="28" numFmtId="0" xfId="0" applyAlignment="1" applyBorder="1" applyFont="1">
      <alignment horizontal="center" readingOrder="0" vertical="bottom"/>
    </xf>
    <xf borderId="4" fillId="0" fontId="2" numFmtId="14" xfId="0" applyAlignment="1" applyBorder="1" applyFont="1" applyNumberFormat="1">
      <alignment readingOrder="0"/>
    </xf>
    <xf borderId="4" fillId="8" fontId="2" numFmtId="14" xfId="0" applyAlignment="1" applyBorder="1" applyFill="1" applyFont="1" applyNumberFormat="1">
      <alignment horizontal="center" readingOrder="0"/>
    </xf>
    <xf borderId="4" fillId="0" fontId="6" numFmtId="0" xfId="0" applyAlignment="1" applyBorder="1" applyFont="1">
      <alignment horizontal="right" readingOrder="0" shrinkToFit="0" vertical="bottom" wrapText="0"/>
    </xf>
    <xf borderId="3" fillId="0" fontId="2" numFmtId="14" xfId="0" applyAlignment="1" applyBorder="1" applyFont="1" applyNumberFormat="1">
      <alignment horizontal="center" readingOrder="0"/>
    </xf>
    <xf borderId="3" fillId="0" fontId="2" numFmtId="0" xfId="0" applyBorder="1" applyFont="1"/>
    <xf borderId="12" fillId="0" fontId="2" numFmtId="0" xfId="0" applyAlignment="1" applyBorder="1" applyFont="1">
      <alignment horizontal="left" readingOrder="0"/>
    </xf>
    <xf borderId="3" fillId="0" fontId="2" numFmtId="1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4" fillId="0" fontId="6" numFmtId="168" xfId="0" applyAlignment="1" applyBorder="1" applyFont="1" applyNumberFormat="1">
      <alignment horizontal="right" readingOrder="0" shrinkToFit="0" vertical="bottom" wrapText="0"/>
    </xf>
    <xf borderId="4" fillId="5" fontId="6" numFmtId="0" xfId="0" applyAlignment="1" applyBorder="1" applyFill="1" applyFont="1">
      <alignment horizontal="right" readingOrder="0" shrinkToFit="0" vertical="bottom" wrapText="0"/>
    </xf>
    <xf borderId="4" fillId="9" fontId="23" numFmtId="0" xfId="0" applyAlignment="1" applyBorder="1" applyFill="1" applyFont="1">
      <alignment readingOrder="0" shrinkToFit="0" wrapText="0"/>
    </xf>
    <xf borderId="4" fillId="0" fontId="2" numFmtId="14" xfId="0" applyAlignment="1" applyBorder="1" applyFont="1" applyNumberFormat="1">
      <alignment horizontal="center" readingOrder="0"/>
    </xf>
    <xf borderId="4" fillId="10" fontId="2" numFmtId="0" xfId="0" applyAlignment="1" applyBorder="1" applyFill="1" applyFont="1">
      <alignment readingOrder="0"/>
    </xf>
    <xf borderId="4" fillId="11" fontId="6" numFmtId="0" xfId="0" applyAlignment="1" applyBorder="1" applyFill="1" applyFont="1">
      <alignment horizontal="right" readingOrder="0" shrinkToFit="0" vertical="bottom" wrapText="0"/>
    </xf>
    <xf borderId="4" fillId="10" fontId="2" numFmtId="14" xfId="0" applyAlignment="1" applyBorder="1" applyFill="1" applyFont="1" applyNumberFormat="1">
      <alignment horizontal="center" readingOrder="0"/>
    </xf>
    <xf borderId="3" fillId="0" fontId="6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vertical="center"/>
    </xf>
    <xf borderId="3" fillId="0" fontId="6" numFmtId="168" xfId="0" applyAlignment="1" applyBorder="1" applyFont="1" applyNumberFormat="1">
      <alignment horizontal="right" readingOrder="0" shrinkToFit="0" vertical="bottom" wrapText="0"/>
    </xf>
    <xf borderId="3" fillId="11" fontId="6" numFmtId="0" xfId="0" applyAlignment="1" applyBorder="1" applyFill="1" applyFont="1">
      <alignment horizontal="right" readingOrder="0" shrinkToFit="0" vertical="bottom" wrapText="0"/>
    </xf>
    <xf borderId="3" fillId="9" fontId="23" numFmtId="0" xfId="0" applyAlignment="1" applyBorder="1" applyFill="1" applyFont="1">
      <alignment readingOrder="0" shrinkToFit="0" wrapText="0"/>
    </xf>
    <xf borderId="13" fillId="0" fontId="2" numFmtId="0" xfId="0" applyAlignment="1" applyBorder="1" applyFont="1">
      <alignment horizontal="left" readingOrder="0"/>
    </xf>
    <xf borderId="4" fillId="8" fontId="2" numFmtId="14" xfId="0" applyAlignment="1" applyBorder="1" applyFill="1" applyFont="1" applyNumberFormat="1">
      <alignment readingOrder="0"/>
    </xf>
    <xf borderId="4" fillId="0" fontId="2" numFmtId="169" xfId="0" applyAlignment="1" applyBorder="1" applyFont="1" applyNumberFormat="1">
      <alignment readingOrder="0"/>
    </xf>
    <xf borderId="4" fillId="5" fontId="6" numFmtId="0" xfId="0" applyAlignment="1" applyBorder="1" applyFill="1" applyFont="1">
      <alignment horizontal="left" readingOrder="0" shrinkToFit="0" vertical="center" wrapText="0"/>
    </xf>
    <xf borderId="4" fillId="12" fontId="17" numFmtId="0" xfId="0" applyAlignment="1" applyBorder="1" applyFill="1" applyFont="1">
      <alignment readingOrder="0"/>
    </xf>
    <xf borderId="4" fillId="11" fontId="28" numFmtId="0" xfId="0" applyAlignment="1" applyBorder="1" applyFill="1" applyFont="1">
      <alignment horizontal="center" readingOrder="0" vertical="bottom"/>
    </xf>
    <xf borderId="3" fillId="5" fontId="6" numFmtId="164" xfId="0" applyAlignment="1" applyBorder="1" applyFill="1" applyFont="1" applyNumberFormat="1">
      <alignment horizontal="left" readingOrder="0" shrinkToFit="0" vertical="center" wrapText="0"/>
    </xf>
    <xf borderId="4" fillId="5" fontId="6" numFmtId="164" xfId="0" applyAlignment="1" applyBorder="1" applyFill="1" applyFont="1" applyNumberFormat="1">
      <alignment horizontal="left" readingOrder="0" shrinkToFit="0" vertical="center" wrapText="0"/>
    </xf>
    <xf borderId="14" fillId="0" fontId="2" numFmtId="14" xfId="0" applyAlignment="1" applyBorder="1" applyFont="1" applyNumberFormat="1">
      <alignment readingOrder="0"/>
    </xf>
    <xf borderId="4" fillId="13" fontId="2" numFmtId="0" xfId="0" applyAlignment="1" applyBorder="1" applyFill="1" applyFont="1">
      <alignment horizontal="left" readingOrder="0" vertical="center"/>
    </xf>
    <xf borderId="4" fillId="0" fontId="14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left" readingOrder="0" shrinkToFit="0" vertical="center" wrapText="1"/>
    </xf>
    <xf borderId="4" fillId="2" fontId="17" numFmtId="14" xfId="0" applyAlignment="1" applyBorder="1" applyFill="1" applyFont="1" applyNumberFormat="1">
      <alignment readingOrder="0"/>
    </xf>
    <xf borderId="14" fillId="0" fontId="2" numFmtId="0" xfId="0" applyBorder="1" applyFont="1"/>
    <xf borderId="3" fillId="2" fontId="18" numFmtId="0" xfId="0" applyAlignment="1" applyBorder="1" applyFill="1" applyFont="1">
      <alignment readingOrder="0"/>
    </xf>
    <xf borderId="3" fillId="0" fontId="2" numFmtId="14" xfId="0" applyAlignment="1" applyBorder="1" applyFont="1" applyNumberFormat="1">
      <alignment readingOrder="0"/>
    </xf>
    <xf borderId="3" fillId="12" fontId="17" numFmtId="0" xfId="0" applyAlignment="1" applyBorder="1" applyFill="1" applyFont="1">
      <alignment readingOrder="0"/>
    </xf>
    <xf borderId="3" fillId="0" fontId="6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left" readingOrder="0"/>
    </xf>
    <xf borderId="15" fillId="0" fontId="2" numFmtId="0" xfId="0" applyBorder="1" applyFont="1"/>
    <xf borderId="4" fillId="3" fontId="6" numFmtId="0" xfId="0" applyAlignment="1" applyBorder="1" applyFill="1" applyFont="1">
      <alignment readingOrder="0" shrinkToFit="0" vertical="bottom" wrapText="0"/>
    </xf>
    <xf borderId="4" fillId="0" fontId="29" numFmtId="0" xfId="0" applyAlignment="1" applyBorder="1" applyFont="1">
      <alignment readingOrder="0"/>
    </xf>
    <xf borderId="4" fillId="0" fontId="30" numFmtId="0" xfId="0" applyAlignment="1" applyBorder="1" applyFont="1">
      <alignment readingOrder="0" shrinkToFit="0" vertical="bottom" wrapText="0"/>
    </xf>
    <xf borderId="4" fillId="5" fontId="2" numFmtId="166" xfId="0" applyAlignment="1" applyBorder="1" applyFill="1" applyFont="1" applyNumberFormat="1">
      <alignment horizontal="left" readingOrder="0"/>
    </xf>
    <xf borderId="4" fillId="3" fontId="31" numFmtId="0" xfId="0" applyAlignment="1" applyBorder="1" applyFill="1" applyFont="1">
      <alignment readingOrder="0" shrinkToFit="0" vertical="bottom" wrapText="0"/>
    </xf>
    <xf borderId="4" fillId="0" fontId="29" numFmtId="0" xfId="0" applyBorder="1" applyFont="1"/>
    <xf borderId="4" fillId="0" fontId="2" numFmtId="165" xfId="0" applyAlignment="1" applyBorder="1" applyFont="1" applyNumberFormat="1">
      <alignment horizontal="left" readingOrder="0"/>
    </xf>
    <xf borderId="4" fillId="0" fontId="31" numFmtId="164" xfId="0" applyAlignment="1" applyBorder="1" applyFont="1" applyNumberFormat="1">
      <alignment horizontal="right" readingOrder="0" shrinkToFit="0" vertical="bottom" wrapText="0"/>
    </xf>
    <xf borderId="4" fillId="0" fontId="2" numFmtId="0" xfId="0" applyAlignment="1" applyBorder="1" applyFont="1">
      <alignment horizontal="left" readingOrder="0" shrinkToFit="0" wrapText="1"/>
    </xf>
    <xf borderId="4" fillId="0" fontId="31" numFmtId="0" xfId="0" applyAlignment="1" applyBorder="1" applyFont="1">
      <alignment horizontal="right" readingOrder="0" shrinkToFit="0" vertical="bottom" wrapText="0"/>
    </xf>
    <xf borderId="4" fillId="9" fontId="32" numFmtId="0" xfId="0" applyAlignment="1" applyBorder="1" applyFill="1" applyFont="1">
      <alignment readingOrder="0" shrinkToFit="0" wrapText="0"/>
    </xf>
    <xf borderId="4" fillId="5" fontId="14" numFmtId="0" xfId="0" applyAlignment="1" applyBorder="1" applyFill="1" applyFont="1">
      <alignment horizontal="left" readingOrder="0" shrinkToFit="0" vertical="bottom" wrapText="0"/>
    </xf>
    <xf borderId="4" fillId="0" fontId="29" numFmtId="0" xfId="0" applyAlignment="1" applyBorder="1" applyFont="1">
      <alignment horizontal="left" readingOrder="0"/>
    </xf>
    <xf borderId="4" fillId="5" fontId="6" numFmtId="0" xfId="0" applyAlignment="1" applyBorder="1" applyFill="1" applyFont="1">
      <alignment horizontal="left" readingOrder="0" shrinkToFit="0" vertical="bottom" wrapText="0"/>
    </xf>
    <xf borderId="4" fillId="5" fontId="2" numFmtId="164" xfId="0" applyAlignment="1" applyBorder="1" applyFill="1" applyFont="1" applyNumberFormat="1">
      <alignment horizontal="left" readingOrder="0"/>
    </xf>
    <xf borderId="4" fillId="5" fontId="6" numFmtId="164" xfId="0" applyAlignment="1" applyBorder="1" applyFill="1" applyFont="1" applyNumberFormat="1">
      <alignment horizontal="left" readingOrder="0" shrinkToFit="0" vertical="bottom" wrapText="0"/>
    </xf>
    <xf borderId="4" fillId="0" fontId="2" numFmtId="169" xfId="0" applyAlignment="1" applyBorder="1" applyFont="1" applyNumberFormat="1">
      <alignment horizontal="center" readingOrder="0"/>
    </xf>
    <xf borderId="4" fillId="5" fontId="2" numFmtId="0" xfId="0" applyAlignment="1" applyBorder="1" applyFill="1" applyFont="1">
      <alignment horizontal="left" readingOrder="0"/>
    </xf>
    <xf borderId="4" fillId="10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left" shrinkToFit="0" wrapText="1"/>
    </xf>
    <xf borderId="2" fillId="0" fontId="23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3" fontId="6" numFmtId="0" xfId="0" applyAlignment="1" applyBorder="1" applyFill="1" applyFont="1">
      <alignment readingOrder="0" shrinkToFit="0" vertical="bottom" wrapText="0"/>
    </xf>
    <xf borderId="3" fillId="0" fontId="2" numFmtId="164" xfId="0" applyAlignment="1" applyBorder="1" applyFont="1" applyNumberFormat="1">
      <alignment readingOrder="0"/>
    </xf>
    <xf borderId="4" fillId="2" fontId="18" numFmtId="3" xfId="0" applyAlignment="1" applyBorder="1" applyFill="1" applyFont="1" applyNumberFormat="1">
      <alignment readingOrder="0"/>
    </xf>
    <xf borderId="4" fillId="5" fontId="33" numFmtId="0" xfId="0" applyAlignment="1" applyBorder="1" applyFill="1" applyFont="1">
      <alignment horizontal="left" readingOrder="0" vertical="top"/>
    </xf>
    <xf borderId="4" fillId="5" fontId="34" numFmtId="0" xfId="0" applyAlignment="1" applyBorder="1" applyFill="1" applyFont="1">
      <alignment horizontal="left" readingOrder="0" vertical="top"/>
    </xf>
    <xf borderId="4" fillId="5" fontId="19" numFmtId="0" xfId="0" applyAlignment="1" applyBorder="1" applyFill="1" applyFont="1">
      <alignment horizontal="left" readingOrder="0" vertical="top"/>
    </xf>
    <xf borderId="4" fillId="5" fontId="12" numFmtId="0" xfId="0" applyAlignment="1" applyBorder="1" applyFill="1" applyFont="1">
      <alignment horizontal="left" readingOrder="0" vertical="top"/>
    </xf>
    <xf borderId="4" fillId="10" fontId="23" numFmtId="0" xfId="0" applyAlignment="1" applyBorder="1" applyFill="1" applyFont="1">
      <alignment readingOrder="0"/>
    </xf>
    <xf borderId="4" fillId="14" fontId="6" numFmtId="0" xfId="0" applyAlignment="1" applyBorder="1" applyFill="1" applyFont="1">
      <alignment readingOrder="0"/>
    </xf>
    <xf borderId="4" fillId="2" fontId="35" numFmtId="164" xfId="0" applyAlignment="1" applyBorder="1" applyFill="1" applyFont="1" applyNumberFormat="1">
      <alignment readingOrder="0"/>
    </xf>
    <xf borderId="4" fillId="2" fontId="35" numFmtId="0" xfId="0" applyAlignment="1" applyBorder="1" applyFill="1" applyFont="1">
      <alignment readingOrder="0"/>
    </xf>
    <xf borderId="4" fillId="5" fontId="12" numFmtId="164" xfId="0" applyAlignment="1" applyBorder="1" applyFill="1" applyFont="1" applyNumberFormat="1">
      <alignment horizontal="left" readingOrder="0"/>
    </xf>
    <xf borderId="4" fillId="0" fontId="36" numFmtId="0" xfId="0" applyAlignment="1" applyBorder="1" applyFont="1">
      <alignment readingOrder="0"/>
    </xf>
    <xf borderId="4" fillId="14" fontId="35" numFmtId="0" xfId="0" applyAlignment="1" applyBorder="1" applyFill="1" applyFont="1">
      <alignment readingOrder="0"/>
    </xf>
    <xf borderId="4" fillId="2" fontId="12" numFmtId="164" xfId="0" applyAlignment="1" applyBorder="1" applyFill="1" applyFont="1" applyNumberFormat="1">
      <alignment horizontal="left" readingOrder="0"/>
    </xf>
    <xf borderId="4" fillId="15" fontId="2" numFmtId="0" xfId="0" applyAlignment="1" applyBorder="1" applyFill="1" applyFont="1">
      <alignment readingOrder="0"/>
    </xf>
    <xf borderId="4" fillId="15" fontId="2" numFmtId="0" xfId="0" applyBorder="1" applyFill="1" applyFont="1"/>
    <xf borderId="4" fillId="15" fontId="35" numFmtId="164" xfId="0" applyAlignment="1" applyBorder="1" applyFill="1" applyFont="1" applyNumberFormat="1">
      <alignment readingOrder="0"/>
    </xf>
    <xf borderId="4" fillId="2" fontId="18" numFmtId="0" xfId="0" applyAlignment="1" applyBorder="1" applyFill="1" applyFont="1">
      <alignment horizontal="left" readingOrder="0"/>
    </xf>
    <xf borderId="3" fillId="10" fontId="2" numFmtId="0" xfId="0" applyAlignment="1" applyBorder="1" applyFill="1" applyFont="1">
      <alignment readingOrder="0"/>
    </xf>
    <xf borderId="4" fillId="5" fontId="2" numFmtId="0" xfId="0" applyAlignment="1" applyBorder="1" applyFill="1" applyFont="1">
      <alignment horizontal="left" readingOrder="0" vertical="center"/>
    </xf>
    <xf borderId="3" fillId="15" fontId="2" numFmtId="0" xfId="0" applyAlignment="1" applyBorder="1" applyFill="1" applyFont="1">
      <alignment readingOrder="0"/>
    </xf>
    <xf borderId="3" fillId="15" fontId="2" numFmtId="0" xfId="0" applyBorder="1" applyFill="1" applyFont="1"/>
    <xf borderId="3" fillId="15" fontId="35" numFmtId="164" xfId="0" applyAlignment="1" applyBorder="1" applyFill="1" applyFont="1" applyNumberFormat="1">
      <alignment readingOrder="0"/>
    </xf>
    <xf borderId="4" fillId="0" fontId="2" numFmtId="14" xfId="0" applyAlignment="1" applyBorder="1" applyFont="1" applyNumberFormat="1">
      <alignment horizontal="left" readingOrder="0"/>
    </xf>
    <xf borderId="3" fillId="0" fontId="8" numFmtId="0" xfId="0" applyAlignment="1" applyBorder="1" applyFont="1">
      <alignment horizontal="left"/>
    </xf>
    <xf borderId="4" fillId="5" fontId="2" numFmtId="0" xfId="0" applyAlignment="1" applyBorder="1" applyFill="1" applyFont="1">
      <alignment horizontal="left" readingOrder="0"/>
    </xf>
    <xf borderId="3" fillId="0" fontId="36" numFmtId="0" xfId="0" applyAlignment="1" applyBorder="1" applyFont="1">
      <alignment readingOrder="0"/>
    </xf>
    <xf borderId="4" fillId="5" fontId="6" numFmtId="0" xfId="0" applyAlignment="1" applyBorder="1" applyFill="1" applyFont="1">
      <alignment readingOrder="0" shrinkToFit="0" vertical="bottom" wrapText="0"/>
    </xf>
    <xf borderId="4" fillId="5" fontId="2" numFmtId="14" xfId="0" applyAlignment="1" applyBorder="1" applyFill="1" applyFont="1" applyNumberFormat="1">
      <alignment horizontal="left" readingOrder="0"/>
    </xf>
    <xf borderId="4" fillId="5" fontId="37" numFmtId="0" xfId="0" applyAlignment="1" applyBorder="1" applyFill="1" applyFont="1">
      <alignment readingOrder="0" shrinkToFit="0" vertical="top" wrapText="0"/>
    </xf>
    <xf borderId="4" fillId="15" fontId="2" numFmtId="164" xfId="0" applyAlignment="1" applyBorder="1" applyFill="1" applyFont="1" applyNumberFormat="1">
      <alignment readingOrder="0"/>
    </xf>
    <xf borderId="4" fillId="2" fontId="38" numFmtId="0" xfId="0" applyAlignment="1" applyBorder="1" applyFill="1" applyFont="1">
      <alignment readingOrder="0"/>
    </xf>
    <xf borderId="6" fillId="0" fontId="2" numFmtId="0" xfId="0" applyAlignment="1" applyBorder="1" applyFont="1">
      <alignment horizontal="left" readingOrder="0"/>
    </xf>
    <xf borderId="4" fillId="5" fontId="39" numFmtId="0" xfId="0" applyAlignment="1" applyBorder="1" applyFill="1" applyFont="1">
      <alignment horizontal="left" readingOrder="0" vertical="top"/>
    </xf>
    <xf borderId="4" fillId="5" fontId="12" numFmtId="0" xfId="0" applyAlignment="1" applyBorder="1" applyFill="1" applyFont="1">
      <alignment readingOrder="0" shrinkToFit="0" vertical="top" wrapText="0"/>
    </xf>
    <xf borderId="4" fillId="5" fontId="19" numFmtId="0" xfId="0" applyAlignment="1" applyBorder="1" applyFill="1" applyFont="1">
      <alignment readingOrder="0"/>
    </xf>
    <xf borderId="4" fillId="5" fontId="2" numFmtId="169" xfId="0" applyAlignment="1" applyBorder="1" applyFill="1" applyFont="1" applyNumberFormat="1">
      <alignment horizontal="left" readingOrder="0"/>
    </xf>
    <xf borderId="4" fillId="5" fontId="2" numFmtId="170" xfId="0" applyAlignment="1" applyBorder="1" applyFill="1" applyFont="1" applyNumberFormat="1">
      <alignment horizontal="left" readingOrder="0"/>
    </xf>
    <xf borderId="0" fillId="0" fontId="2" numFmtId="0" xfId="0" applyAlignment="1" applyFont="1">
      <alignment horizontal="left" vertical="center"/>
    </xf>
    <xf borderId="4" fillId="3" fontId="2" numFmtId="0" xfId="0" applyAlignment="1" applyBorder="1" applyFill="1" applyFont="1">
      <alignment horizontal="left" readingOrder="0" vertical="center"/>
    </xf>
    <xf borderId="4" fillId="3" fontId="2" numFmtId="14" xfId="0" applyAlignment="1" applyBorder="1" applyFill="1" applyFont="1" applyNumberFormat="1">
      <alignment horizontal="left" readingOrder="0" vertical="center"/>
    </xf>
    <xf borderId="4" fillId="3" fontId="2" numFmtId="164" xfId="0" applyAlignment="1" applyBorder="1" applyFill="1" applyFont="1" applyNumberFormat="1">
      <alignment horizontal="left" readingOrder="0" vertical="center"/>
    </xf>
    <xf borderId="4" fillId="3" fontId="6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vertical="center"/>
    </xf>
    <xf borderId="4" fillId="5" fontId="2" numFmtId="14" xfId="0" applyAlignment="1" applyBorder="1" applyFill="1" applyFont="1" applyNumberFormat="1">
      <alignment horizontal="left" readingOrder="0" vertical="center"/>
    </xf>
    <xf borderId="4" fillId="5" fontId="2" numFmtId="164" xfId="0" applyAlignment="1" applyBorder="1" applyFill="1" applyFont="1" applyNumberFormat="1">
      <alignment horizontal="left" readingOrder="0" vertical="center"/>
    </xf>
    <xf borderId="4" fillId="0" fontId="2" numFmtId="14" xfId="0" applyAlignment="1" applyBorder="1" applyFont="1" applyNumberFormat="1">
      <alignment horizontal="left" readingOrder="0" vertical="center"/>
    </xf>
    <xf borderId="4" fillId="5" fontId="18" numFmtId="0" xfId="0" applyAlignment="1" applyBorder="1" applyFill="1" applyFont="1">
      <alignment readingOrder="0" vertical="center"/>
    </xf>
    <xf borderId="4" fillId="5" fontId="14" numFmtId="0" xfId="0" applyAlignment="1" applyBorder="1" applyFill="1" applyFont="1">
      <alignment readingOrder="0" vertical="center"/>
    </xf>
    <xf borderId="4" fillId="5" fontId="29" numFmtId="0" xfId="0" applyAlignment="1" applyBorder="1" applyFill="1" applyFont="1">
      <alignment horizontal="left" readingOrder="0" vertical="center"/>
    </xf>
    <xf borderId="4" fillId="5" fontId="29" numFmtId="14" xfId="0" applyAlignment="1" applyBorder="1" applyFill="1" applyFont="1" applyNumberFormat="1">
      <alignment horizontal="left" readingOrder="0" vertical="center"/>
    </xf>
    <xf borderId="4" fillId="5" fontId="29" numFmtId="164" xfId="0" applyAlignment="1" applyBorder="1" applyFill="1" applyFont="1" applyNumberFormat="1">
      <alignment horizontal="left" readingOrder="0" vertical="center"/>
    </xf>
    <xf borderId="3" fillId="5" fontId="18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horizontal="left" readingOrder="0"/>
    </xf>
    <xf borderId="3" fillId="5" fontId="2" numFmtId="14" xfId="0" applyAlignment="1" applyBorder="1" applyFill="1" applyFont="1" applyNumberFormat="1">
      <alignment horizontal="left" readingOrder="0"/>
    </xf>
    <xf borderId="3" fillId="5" fontId="2" numFmtId="164" xfId="0" applyAlignment="1" applyBorder="1" applyFill="1" applyFont="1" applyNumberFormat="1">
      <alignment horizontal="left" readingOrder="0"/>
    </xf>
    <xf borderId="3" fillId="0" fontId="6" numFmtId="0" xfId="0" applyAlignment="1" applyBorder="1" applyFont="1">
      <alignment horizontal="left" readingOrder="0" shrinkToFit="0" vertical="bottom" wrapText="0"/>
    </xf>
    <xf borderId="3" fillId="0" fontId="2" numFmtId="14" xfId="0" applyAlignment="1" applyBorder="1" applyFont="1" applyNumberFormat="1">
      <alignment horizontal="left" readingOrder="0"/>
    </xf>
    <xf borderId="3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 shrinkToFit="0" wrapText="1"/>
    </xf>
    <xf borderId="0" fillId="5" fontId="2" numFmtId="0" xfId="0" applyAlignment="1" applyFill="1" applyFont="1">
      <alignment horizontal="left"/>
    </xf>
    <xf borderId="4" fillId="13" fontId="2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horizontal="left" readingOrder="0" vertical="center"/>
    </xf>
    <xf borderId="3" fillId="0" fontId="29" numFmtId="0" xfId="0" applyAlignment="1" applyBorder="1" applyFont="1">
      <alignment horizontal="left" readingOrder="0"/>
    </xf>
    <xf borderId="3" fillId="2" fontId="40" numFmtId="0" xfId="0" applyAlignment="1" applyBorder="1" applyFill="1" applyFont="1">
      <alignment readingOrder="0"/>
    </xf>
    <xf borderId="3" fillId="0" fontId="29" numFmtId="14" xfId="0" applyAlignment="1" applyBorder="1" applyFont="1" applyNumberFormat="1">
      <alignment horizontal="left" readingOrder="0"/>
    </xf>
    <xf borderId="3" fillId="5" fontId="29" numFmtId="164" xfId="0" applyAlignment="1" applyBorder="1" applyFill="1" applyFont="1" applyNumberFormat="1">
      <alignment horizontal="left" readingOrder="0"/>
    </xf>
    <xf borderId="3" fillId="0" fontId="29" numFmtId="0" xfId="0" applyAlignment="1" applyBorder="1" applyFont="1">
      <alignment horizontal="left" readingOrder="0" vertical="center"/>
    </xf>
    <xf borderId="15" fillId="0" fontId="29" numFmtId="0" xfId="0" applyAlignment="1" applyBorder="1" applyFont="1">
      <alignment horizontal="left" readingOrder="0" vertical="center"/>
    </xf>
    <xf borderId="0" fillId="0" fontId="2" numFmtId="14" xfId="0" applyAlignment="1" applyFont="1" applyNumberFormat="1">
      <alignment horizontal="left" readingOrder="0"/>
    </xf>
    <xf borderId="3" fillId="5" fontId="2" numFmtId="0" xfId="0" applyAlignment="1" applyBorder="1" applyFill="1" applyFont="1">
      <alignment horizontal="left" readingOrder="0" vertical="center"/>
    </xf>
    <xf borderId="4" fillId="3" fontId="2" numFmtId="0" xfId="0" applyAlignment="1" applyBorder="1" applyFill="1" applyFont="1">
      <alignment horizontal="left" readingOrder="0"/>
    </xf>
    <xf borderId="4" fillId="3" fontId="2" numFmtId="14" xfId="0" applyAlignment="1" applyBorder="1" applyFill="1" applyFont="1" applyNumberFormat="1">
      <alignment horizontal="left" readingOrder="0"/>
    </xf>
    <xf borderId="3" fillId="3" fontId="2" numFmtId="0" xfId="0" applyAlignment="1" applyBorder="1" applyFill="1" applyFont="1">
      <alignment horizontal="left" readingOrder="0" vertical="center"/>
    </xf>
    <xf borderId="3" fillId="3" fontId="2" numFmtId="0" xfId="0" applyAlignment="1" applyBorder="1" applyFill="1" applyFont="1">
      <alignment horizontal="left" readingOrder="0"/>
    </xf>
    <xf borderId="16" fillId="0" fontId="2" numFmtId="14" xfId="0" applyAlignment="1" applyBorder="1" applyFont="1" applyNumberFormat="1">
      <alignment horizontal="left" readingOrder="0"/>
    </xf>
    <xf borderId="16" fillId="5" fontId="41" numFmtId="0" xfId="0" applyAlignment="1" applyBorder="1" applyFill="1" applyFont="1">
      <alignment readingOrder="0"/>
    </xf>
    <xf borderId="16" fillId="0" fontId="2" numFmtId="0" xfId="0" applyAlignment="1" applyBorder="1" applyFont="1">
      <alignment horizontal="left" readingOrder="0"/>
    </xf>
    <xf borderId="14" fillId="0" fontId="2" numFmtId="0" xfId="0" applyAlignment="1" applyBorder="1" applyFont="1">
      <alignment horizontal="left" readingOrder="0"/>
    </xf>
    <xf borderId="6" fillId="5" fontId="2" numFmtId="0" xfId="0" applyAlignment="1" applyBorder="1" applyFill="1" applyFont="1">
      <alignment horizontal="left" readingOrder="0" vertical="center"/>
    </xf>
    <xf borderId="16" fillId="5" fontId="2" numFmtId="14" xfId="0" applyAlignment="1" applyBorder="1" applyFill="1" applyFont="1" applyNumberFormat="1">
      <alignment horizontal="left" readingOrder="0"/>
    </xf>
    <xf borderId="16" fillId="5" fontId="2" numFmtId="164" xfId="0" applyAlignment="1" applyBorder="1" applyFill="1" applyFont="1" applyNumberFormat="1">
      <alignment horizontal="left" readingOrder="0"/>
    </xf>
    <xf borderId="14" fillId="0" fontId="2" numFmtId="14" xfId="0" applyAlignment="1" applyBorder="1" applyFont="1" applyNumberFormat="1">
      <alignment horizontal="left" readingOrder="0"/>
    </xf>
    <xf borderId="6" fillId="5" fontId="2" numFmtId="14" xfId="0" applyAlignment="1" applyBorder="1" applyFill="1" applyFont="1" applyNumberFormat="1">
      <alignment horizontal="left" readingOrder="0"/>
    </xf>
    <xf borderId="6" fillId="5" fontId="2" numFmtId="0" xfId="0" applyAlignment="1" applyBorder="1" applyFill="1" applyFont="1">
      <alignment horizontal="left"/>
    </xf>
    <xf borderId="17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4" fillId="5" fontId="2" numFmtId="0" xfId="0" applyAlignment="1" applyBorder="1" applyFill="1" applyFont="1">
      <alignment horizontal="left"/>
    </xf>
    <xf borderId="3" fillId="5" fontId="2" numFmtId="0" xfId="0" applyAlignment="1" applyBorder="1" applyFill="1" applyFont="1">
      <alignment horizontal="left"/>
    </xf>
    <xf borderId="12" fillId="5" fontId="2" numFmtId="14" xfId="0" applyAlignment="1" applyBorder="1" applyFill="1" applyFont="1" applyNumberFormat="1">
      <alignment horizontal="left" readingOrder="0"/>
    </xf>
    <xf borderId="3" fillId="0" fontId="2" numFmtId="164" xfId="0" applyAlignment="1" applyBorder="1" applyFont="1" applyNumberFormat="1">
      <alignment horizontal="left" readingOrder="0"/>
    </xf>
    <xf borderId="12" fillId="0" fontId="29" numFmtId="0" xfId="0" applyAlignment="1" applyBorder="1" applyFont="1">
      <alignment horizontal="left" readingOrder="0"/>
    </xf>
    <xf borderId="4" fillId="5" fontId="29" numFmtId="14" xfId="0" applyAlignment="1" applyBorder="1" applyFill="1" applyFont="1" applyNumberFormat="1">
      <alignment horizontal="left" readingOrder="0"/>
    </xf>
    <xf borderId="14" fillId="0" fontId="29" numFmtId="0" xfId="0" applyAlignment="1" applyBorder="1" applyFont="1">
      <alignment horizontal="left" readingOrder="0"/>
    </xf>
    <xf borderId="12" fillId="0" fontId="29" numFmtId="0" xfId="0" applyAlignment="1" applyBorder="1" applyFont="1">
      <alignment horizontal="center" readingOrder="0"/>
    </xf>
    <xf borderId="18" fillId="0" fontId="10" numFmtId="0" xfId="0" applyBorder="1" applyFont="1"/>
    <xf borderId="14" fillId="0" fontId="10" numFmtId="0" xfId="0" applyBorder="1" applyFont="1"/>
    <xf borderId="4" fillId="0" fontId="42" numFmtId="0" xfId="0" applyAlignment="1" applyBorder="1" applyFont="1">
      <alignment readingOrder="0" shrinkToFit="0" vertical="bottom" wrapText="0"/>
    </xf>
    <xf borderId="3" fillId="0" fontId="2" numFmtId="14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169" xfId="0" applyAlignment="1" applyBorder="1" applyFont="1" applyNumberFormat="1">
      <alignment horizontal="left" readingOrder="0"/>
    </xf>
    <xf borderId="3" fillId="0" fontId="2" numFmtId="169" xfId="0" applyAlignment="1" applyBorder="1" applyFont="1" applyNumberFormat="1">
      <alignment horizontal="left" readingOrder="0"/>
    </xf>
    <xf borderId="4" fillId="2" fontId="43" numFmtId="0" xfId="0" applyAlignment="1" applyBorder="1" applyFill="1" applyFont="1">
      <alignment readingOrder="0"/>
    </xf>
    <xf borderId="4" fillId="0" fontId="23" numFmtId="0" xfId="0" applyAlignment="1" applyBorder="1" applyFont="1">
      <alignment readingOrder="0" shrinkToFit="0" wrapText="0"/>
    </xf>
    <xf borderId="3" fillId="0" fontId="23" numFmtId="0" xfId="0" applyAlignment="1" applyBorder="1" applyFont="1">
      <alignment readingOrder="0" shrinkToFit="0" wrapText="0"/>
    </xf>
    <xf borderId="4" fillId="0" fontId="6" numFmtId="168" xfId="0" applyAlignment="1" applyBorder="1" applyFont="1" applyNumberFormat="1">
      <alignment horizontal="center" readingOrder="0" shrinkToFit="0" vertical="bottom" wrapText="0"/>
    </xf>
    <xf borderId="14" fillId="5" fontId="2" numFmtId="0" xfId="0" applyAlignment="1" applyBorder="1" applyFill="1" applyFont="1">
      <alignment horizontal="left" readingOrder="0" vertical="center"/>
    </xf>
    <xf borderId="3" fillId="2" fontId="19" numFmtId="0" xfId="0" applyAlignment="1" applyBorder="1" applyFill="1" applyFont="1">
      <alignment readingOrder="0"/>
    </xf>
    <xf borderId="4" fillId="0" fontId="29" numFmtId="169" xfId="0" applyAlignment="1" applyBorder="1" applyFont="1" applyNumberFormat="1">
      <alignment horizontal="left" readingOrder="0"/>
    </xf>
    <xf borderId="4" fillId="5" fontId="30" numFmtId="0" xfId="0" applyAlignment="1" applyBorder="1" applyFill="1" applyFont="1">
      <alignment readingOrder="0" shrinkToFit="0" vertical="bottom" wrapText="0"/>
    </xf>
    <xf borderId="4" fillId="0" fontId="32" numFmtId="0" xfId="0" applyAlignment="1" applyBorder="1" applyFont="1">
      <alignment readingOrder="0" shrinkToFit="0" wrapText="0"/>
    </xf>
    <xf borderId="15" fillId="0" fontId="29" numFmtId="14" xfId="0" applyAlignment="1" applyBorder="1" applyFont="1" applyNumberFormat="1">
      <alignment horizontal="left" readingOrder="0"/>
    </xf>
    <xf borderId="4" fillId="5" fontId="30" numFmtId="0" xfId="0" applyAlignment="1" applyBorder="1" applyFill="1" applyFont="1">
      <alignment horizontal="left" readingOrder="0" shrinkToFit="0" wrapText="0"/>
    </xf>
    <xf borderId="4" fillId="0" fontId="29" numFmtId="14" xfId="0" applyAlignment="1" applyBorder="1" applyFont="1" applyNumberFormat="1">
      <alignment horizontal="left" readingOrder="0"/>
    </xf>
    <xf borderId="3" fillId="0" fontId="30" numFmtId="0" xfId="0" applyAlignment="1" applyBorder="1" applyFont="1">
      <alignment readingOrder="0" shrinkToFit="0" vertical="bottom" wrapText="0"/>
    </xf>
    <xf borderId="3" fillId="0" fontId="29" numFmtId="169" xfId="0" applyAlignment="1" applyBorder="1" applyFont="1" applyNumberFormat="1">
      <alignment horizontal="left" readingOrder="0"/>
    </xf>
    <xf borderId="3" fillId="5" fontId="30" numFmtId="0" xfId="0" applyAlignment="1" applyBorder="1" applyFill="1" applyFont="1">
      <alignment horizontal="left" readingOrder="0"/>
    </xf>
    <xf borderId="3" fillId="0" fontId="32" numFmtId="0" xfId="0" applyAlignment="1" applyBorder="1" applyFont="1">
      <alignment readingOrder="0" shrinkToFit="0" wrapText="0"/>
    </xf>
    <xf borderId="13" fillId="0" fontId="29" numFmtId="0" xfId="0" applyAlignment="1" applyBorder="1" applyFont="1">
      <alignment horizontal="left" readingOrder="0"/>
    </xf>
    <xf borderId="14" fillId="0" fontId="29" numFmtId="14" xfId="0" applyAlignment="1" applyBorder="1" applyFont="1" applyNumberFormat="1">
      <alignment horizontal="left" readingOrder="0"/>
    </xf>
    <xf borderId="15" fillId="0" fontId="2" numFmtId="0" xfId="0" applyAlignment="1" applyBorder="1" applyFont="1">
      <alignment horizontal="left" readingOrder="0"/>
    </xf>
    <xf borderId="19" fillId="0" fontId="6" numFmtId="0" xfId="0" applyAlignment="1" applyBorder="1" applyFont="1">
      <alignment readingOrder="0" shrinkToFit="0" vertical="bottom" wrapText="0"/>
    </xf>
    <xf borderId="12" fillId="0" fontId="2" numFmtId="169" xfId="0" applyAlignment="1" applyBorder="1" applyFont="1" applyNumberFormat="1">
      <alignment horizontal="left" readingOrder="0"/>
    </xf>
    <xf borderId="15" fillId="5" fontId="2" numFmtId="0" xfId="0" applyAlignment="1" applyBorder="1" applyFill="1" applyFont="1">
      <alignment horizontal="left" readingOrder="0" vertical="center"/>
    </xf>
    <xf borderId="3" fillId="13" fontId="2" numFmtId="0" xfId="0" applyAlignment="1" applyBorder="1" applyFill="1" applyFont="1">
      <alignment horizontal="left" readingOrder="0"/>
    </xf>
    <xf borderId="15" fillId="0" fontId="2" numFmtId="0" xfId="0" applyAlignment="1" applyBorder="1" applyFont="1">
      <alignment horizontal="left"/>
    </xf>
    <xf borderId="3" fillId="0" fontId="23" numFmtId="0" xfId="0" applyAlignment="1" applyBorder="1" applyFont="1">
      <alignment readingOrder="0" shrinkToFit="0" vertical="bottom" wrapText="0"/>
    </xf>
    <xf borderId="3" fillId="0" fontId="32" numFmtId="0" xfId="0" applyAlignment="1" applyBorder="1" applyFont="1">
      <alignment readingOrder="0" shrinkToFit="0" vertical="bottom" wrapText="0"/>
    </xf>
    <xf borderId="3" fillId="0" fontId="32" numFmtId="0" xfId="0" applyAlignment="1" applyBorder="1" applyFont="1">
      <alignment horizontal="left" readingOrder="0" shrinkToFit="0" wrapText="0"/>
    </xf>
    <xf borderId="3" fillId="0" fontId="31" numFmtId="0" xfId="0" applyAlignment="1" applyBorder="1" applyFont="1">
      <alignment readingOrder="0" shrinkToFit="0" vertical="bottom" wrapText="0"/>
    </xf>
    <xf borderId="4" fillId="2" fontId="17" numFmtId="0" xfId="0" applyAlignment="1" applyBorder="1" applyFill="1" applyFont="1">
      <alignment readingOrder="0" shrinkToFit="0" wrapText="0"/>
    </xf>
    <xf borderId="4" fillId="10" fontId="2" numFmtId="0" xfId="0" applyAlignment="1" applyBorder="1" applyFill="1" applyFont="1">
      <alignment horizontal="left" readingOrder="0"/>
    </xf>
    <xf borderId="0" fillId="2" fontId="44" numFmtId="0" xfId="0" applyAlignment="1" applyFill="1" applyFont="1">
      <alignment readingOrder="0"/>
    </xf>
    <xf borderId="13" fillId="0" fontId="2" numFmtId="14" xfId="0" applyAlignment="1" applyBorder="1" applyFont="1" applyNumberFormat="1">
      <alignment horizontal="left" readingOrder="0"/>
    </xf>
    <xf borderId="4" fillId="13" fontId="45" numFmtId="0" xfId="0" applyAlignment="1" applyBorder="1" applyFill="1" applyFont="1">
      <alignment horizontal="left" readingOrder="0"/>
    </xf>
    <xf borderId="4" fillId="0" fontId="2" numFmtId="171" xfId="0" applyAlignment="1" applyBorder="1" applyFont="1" applyNumberFormat="1">
      <alignment horizontal="left" readingOrder="0"/>
    </xf>
    <xf borderId="12" fillId="10" fontId="2" numFmtId="0" xfId="0" applyAlignment="1" applyBorder="1" applyFill="1" applyFont="1">
      <alignment horizontal="left" readingOrder="0"/>
    </xf>
    <xf borderId="4" fillId="2" fontId="46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horizontal="left" vertical="center"/>
    </xf>
    <xf borderId="4" fillId="0" fontId="8" numFmtId="0" xfId="0" applyAlignment="1" applyBorder="1" applyFont="1">
      <alignment horizontal="left" readingOrder="0"/>
    </xf>
    <xf borderId="3" fillId="2" fontId="38" numFmtId="0" xfId="0" applyAlignment="1" applyBorder="1" applyFill="1" applyFont="1">
      <alignment readingOrder="0"/>
    </xf>
    <xf borderId="4" fillId="0" fontId="2" numFmtId="0" xfId="0" applyAlignment="1" applyBorder="1" applyFont="1">
      <alignment horizontal="left" readingOrder="0" shrinkToFit="0" wrapText="0"/>
    </xf>
    <xf borderId="6" fillId="0" fontId="2" numFmtId="0" xfId="0" applyAlignment="1" applyBorder="1" applyFont="1">
      <alignment horizontal="left"/>
    </xf>
    <xf borderId="4" fillId="10" fontId="28" numFmtId="0" xfId="0" applyAlignment="1" applyBorder="1" applyFill="1" applyFont="1">
      <alignment horizontal="center" readingOrder="0"/>
    </xf>
    <xf borderId="4" fillId="16" fontId="6" numFmtId="0" xfId="0" applyAlignment="1" applyBorder="1" applyFill="1" applyFont="1">
      <alignment readingOrder="0"/>
    </xf>
    <xf borderId="4" fillId="16" fontId="2" numFmtId="14" xfId="0" applyAlignment="1" applyBorder="1" applyFill="1" applyFont="1" applyNumberFormat="1">
      <alignment horizontal="center" readingOrder="0"/>
    </xf>
    <xf borderId="4" fillId="16" fontId="35" numFmtId="164" xfId="0" applyAlignment="1" applyBorder="1" applyFill="1" applyFont="1" applyNumberFormat="1">
      <alignment horizontal="center" readingOrder="0"/>
    </xf>
    <xf borderId="4" fillId="16" fontId="35" numFmtId="0" xfId="0" applyAlignment="1" applyBorder="1" applyFill="1" applyFont="1">
      <alignment readingOrder="0"/>
    </xf>
    <xf borderId="4" fillId="16" fontId="2" numFmtId="0" xfId="0" applyAlignment="1" applyBorder="1" applyFill="1" applyFont="1">
      <alignment horizontal="left" readingOrder="0" vertical="center"/>
    </xf>
    <xf borderId="4" fillId="16" fontId="2" numFmtId="0" xfId="0" applyAlignment="1" applyBorder="1" applyFill="1" applyFont="1">
      <alignment horizontal="left" readingOrder="0"/>
    </xf>
    <xf borderId="4" fillId="16" fontId="2" numFmtId="0" xfId="0" applyAlignment="1" applyBorder="1" applyFill="1" applyFont="1">
      <alignment readingOrder="0"/>
    </xf>
    <xf borderId="4" fillId="2" fontId="35" numFmtId="14" xfId="0" applyAlignment="1" applyBorder="1" applyFill="1" applyFont="1" applyNumberFormat="1">
      <alignment horizontal="center" readingOrder="0"/>
    </xf>
    <xf borderId="3" fillId="10" fontId="2" numFmtId="0" xfId="0" applyAlignment="1" applyBorder="1" applyFill="1" applyFont="1">
      <alignment horizontal="left" readingOrder="0"/>
    </xf>
    <xf borderId="3" fillId="2" fontId="35" numFmtId="164" xfId="0" applyAlignment="1" applyBorder="1" applyFill="1" applyFont="1" applyNumberFormat="1">
      <alignment horizontal="center" readingOrder="0"/>
    </xf>
    <xf borderId="3" fillId="2" fontId="35" numFmtId="0" xfId="0" applyAlignment="1" applyBorder="1" applyFill="1" applyFont="1">
      <alignment readingOrder="0"/>
    </xf>
    <xf borderId="4" fillId="0" fontId="36" numFmtId="0" xfId="0" applyAlignment="1" applyBorder="1" applyFont="1">
      <alignment horizontal="left" readingOrder="0"/>
    </xf>
    <xf borderId="4" fillId="2" fontId="35" numFmtId="164" xfId="0" applyAlignment="1" applyBorder="1" applyFill="1" applyFont="1" applyNumberFormat="1">
      <alignment horizontal="center" readingOrder="0"/>
    </xf>
    <xf borderId="4" fillId="5" fontId="6" numFmtId="0" xfId="0" applyAlignment="1" applyBorder="1" applyFill="1" applyFont="1">
      <alignment readingOrder="0"/>
    </xf>
    <xf borderId="4" fillId="2" fontId="6" numFmtId="164" xfId="0" applyAlignment="1" applyBorder="1" applyFill="1" applyFont="1" applyNumberFormat="1">
      <alignment horizontal="center" readingOrder="0"/>
    </xf>
    <xf borderId="4" fillId="2" fontId="4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ngesh Novel" id="{dd5075e7-65f2-4ca8-827f-a6eac36050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0" dT="2026-07-15T10:57:07.00" personId="{dd5075e7-65f2-4ca8-827f-a6eac3605063}" id="{d7b28cb7-8316-48b4-b1a3-b255e9c4f520}" done="0">
    <x18tc:text xml:space="preserve">DISCPATCHED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vendorcentral.in/hz/vendor/members/fc-appointment/details?fcId=BLR4&amp;appointmentId=963453004985" TargetMode="External"/><Relationship Id="rId5" Type="http://schemas.openxmlformats.org/officeDocument/2006/relationships/hyperlink" Target="https://www.vendorcentral.in/hz/vendor/members/fc-appointment/details?fcId=BLR4&amp;appointmentId=965879004985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75"/>
    <col customWidth="1" min="3" max="3" width="18.13"/>
    <col customWidth="1" min="4" max="4" width="18.25"/>
    <col customWidth="1" min="5" max="5" width="8.13"/>
    <col customWidth="1" min="6" max="6" width="9.88"/>
    <col customWidth="1" min="7" max="7" width="9.63"/>
    <col customWidth="1" min="8" max="8" width="9.0"/>
    <col customWidth="1" min="9" max="9" width="7.38"/>
    <col customWidth="1" min="10" max="10" width="13.75"/>
    <col customWidth="1" min="11" max="11" width="20.63"/>
    <col customWidth="1" min="12" max="12" width="26.75"/>
    <col customWidth="1" min="13" max="13" width="11.38"/>
    <col customWidth="1" min="14" max="14" width="11.75"/>
    <col customWidth="1" min="15" max="15" width="44.88"/>
    <col customWidth="1" min="16" max="16" width="18.25"/>
  </cols>
  <sheetData>
    <row r="1">
      <c r="A1" s="6" t="s">
        <v>4</v>
      </c>
      <c r="B1" s="6" t="s">
        <v>11</v>
      </c>
      <c r="C1" s="8" t="s">
        <v>14</v>
      </c>
      <c r="D1" s="8" t="s">
        <v>16</v>
      </c>
      <c r="E1" s="10"/>
      <c r="F1" s="10" t="s">
        <v>17</v>
      </c>
      <c r="G1" s="10" t="s">
        <v>18</v>
      </c>
      <c r="H1" s="10" t="s">
        <v>19</v>
      </c>
      <c r="I1" s="10" t="s">
        <v>20</v>
      </c>
      <c r="K1" s="6" t="s">
        <v>21</v>
      </c>
      <c r="L1" s="6" t="s">
        <v>11</v>
      </c>
      <c r="M1" s="6" t="s">
        <v>23</v>
      </c>
      <c r="N1" s="8" t="s">
        <v>14</v>
      </c>
      <c r="O1" s="8" t="s">
        <v>24</v>
      </c>
      <c r="P1" s="8" t="s">
        <v>25</v>
      </c>
      <c r="Q1" s="8" t="s">
        <v>27</v>
      </c>
      <c r="R1" s="10" t="s">
        <v>17</v>
      </c>
      <c r="S1" s="10" t="s">
        <v>18</v>
      </c>
      <c r="T1" s="10" t="s">
        <v>19</v>
      </c>
      <c r="U1" s="10" t="s">
        <v>20</v>
      </c>
    </row>
    <row r="2">
      <c r="A2" s="18" t="s">
        <v>28</v>
      </c>
      <c r="B2" s="20" t="s">
        <v>34</v>
      </c>
      <c r="C2" s="20" t="s">
        <v>37</v>
      </c>
      <c r="D2" s="22" t="s">
        <v>38</v>
      </c>
      <c r="E2" s="23"/>
      <c r="F2" s="23">
        <v>1.0</v>
      </c>
      <c r="G2" s="23" t="s">
        <v>40</v>
      </c>
      <c r="H2" s="23" t="s">
        <v>40</v>
      </c>
      <c r="I2" s="23" t="s">
        <v>40</v>
      </c>
      <c r="K2" s="28" t="s">
        <v>31</v>
      </c>
      <c r="L2" s="20" t="s">
        <v>45</v>
      </c>
      <c r="M2" s="20" t="s">
        <v>46</v>
      </c>
      <c r="N2" s="20" t="s">
        <v>47</v>
      </c>
      <c r="O2" s="20">
        <v>2196.0</v>
      </c>
      <c r="P2" s="20" t="s">
        <v>49</v>
      </c>
      <c r="Q2" s="30" t="s">
        <v>51</v>
      </c>
      <c r="R2" s="23" t="s">
        <v>40</v>
      </c>
      <c r="S2" s="32"/>
      <c r="T2" s="23" t="s">
        <v>40</v>
      </c>
      <c r="U2" s="23" t="s">
        <v>40</v>
      </c>
    </row>
    <row r="3">
      <c r="A3" s="33"/>
      <c r="B3" s="20" t="s">
        <v>52</v>
      </c>
      <c r="C3" s="20" t="s">
        <v>53</v>
      </c>
      <c r="D3" s="22" t="s">
        <v>54</v>
      </c>
      <c r="E3" s="37"/>
      <c r="F3" s="37"/>
      <c r="G3" s="37"/>
      <c r="H3" s="37"/>
      <c r="I3" s="37"/>
      <c r="K3" s="33"/>
      <c r="L3" s="20" t="s">
        <v>30</v>
      </c>
      <c r="M3" s="20" t="s">
        <v>58</v>
      </c>
      <c r="N3" s="20" t="s">
        <v>59</v>
      </c>
      <c r="O3" s="20">
        <v>3430.0</v>
      </c>
      <c r="P3" s="20" t="s">
        <v>60</v>
      </c>
      <c r="Q3" s="30" t="s">
        <v>51</v>
      </c>
      <c r="R3" s="23" t="s">
        <v>40</v>
      </c>
      <c r="S3" s="32"/>
      <c r="T3" s="23" t="s">
        <v>40</v>
      </c>
      <c r="U3" s="23" t="s">
        <v>40</v>
      </c>
    </row>
    <row r="4">
      <c r="A4" s="33"/>
      <c r="B4" s="20" t="s">
        <v>62</v>
      </c>
      <c r="C4" s="20" t="s">
        <v>63</v>
      </c>
      <c r="D4" s="22" t="s">
        <v>64</v>
      </c>
      <c r="E4" s="37"/>
      <c r="F4" s="37"/>
      <c r="G4" s="37"/>
      <c r="H4" s="37"/>
      <c r="I4" s="37"/>
      <c r="K4" s="33"/>
      <c r="L4" s="20" t="s">
        <v>61</v>
      </c>
      <c r="M4" s="20" t="s">
        <v>66</v>
      </c>
      <c r="N4" s="20" t="s">
        <v>67</v>
      </c>
      <c r="O4" s="20">
        <v>2197.0</v>
      </c>
      <c r="P4" s="20" t="s">
        <v>68</v>
      </c>
      <c r="Q4" s="30" t="s">
        <v>51</v>
      </c>
      <c r="R4" s="23" t="s">
        <v>40</v>
      </c>
      <c r="S4" s="23">
        <v>1.0</v>
      </c>
      <c r="T4" s="23" t="s">
        <v>40</v>
      </c>
      <c r="U4" s="23" t="s">
        <v>40</v>
      </c>
    </row>
    <row r="5">
      <c r="A5" s="33"/>
      <c r="B5" s="20" t="s">
        <v>69</v>
      </c>
      <c r="C5" s="20" t="s">
        <v>70</v>
      </c>
      <c r="D5" s="22" t="s">
        <v>71</v>
      </c>
      <c r="E5" s="37"/>
      <c r="F5" s="37"/>
      <c r="G5" s="37"/>
      <c r="H5" s="37"/>
      <c r="I5" s="37"/>
      <c r="K5" s="33"/>
      <c r="L5" s="20" t="s">
        <v>73</v>
      </c>
      <c r="M5" s="48" t="s">
        <v>74</v>
      </c>
      <c r="N5" s="20" t="s">
        <v>80</v>
      </c>
      <c r="O5" s="20">
        <v>3453.0</v>
      </c>
      <c r="P5" s="20" t="s">
        <v>81</v>
      </c>
      <c r="Q5" s="30" t="s">
        <v>51</v>
      </c>
      <c r="R5" s="23" t="s">
        <v>40</v>
      </c>
      <c r="S5" s="23">
        <v>1.0</v>
      </c>
      <c r="T5" s="23" t="s">
        <v>40</v>
      </c>
      <c r="U5" s="23" t="s">
        <v>40</v>
      </c>
    </row>
    <row r="6">
      <c r="A6" s="33"/>
      <c r="B6" s="20" t="s">
        <v>84</v>
      </c>
      <c r="C6" s="20" t="s">
        <v>85</v>
      </c>
      <c r="D6" s="22" t="s">
        <v>86</v>
      </c>
      <c r="E6" s="37"/>
      <c r="F6" s="37"/>
      <c r="G6" s="37"/>
      <c r="H6" s="37"/>
      <c r="I6" s="37"/>
      <c r="K6" s="33"/>
      <c r="L6" s="20" t="s">
        <v>87</v>
      </c>
      <c r="M6" s="20" t="s">
        <v>88</v>
      </c>
      <c r="N6" s="20" t="s">
        <v>37</v>
      </c>
      <c r="O6" s="20">
        <v>2199.0</v>
      </c>
      <c r="P6" s="20" t="s">
        <v>89</v>
      </c>
      <c r="Q6" s="51" t="s">
        <v>51</v>
      </c>
      <c r="R6" s="23">
        <v>1.0</v>
      </c>
      <c r="S6" s="23" t="s">
        <v>40</v>
      </c>
      <c r="T6" s="23" t="s">
        <v>40</v>
      </c>
      <c r="U6" s="23" t="s">
        <v>40</v>
      </c>
    </row>
    <row r="7">
      <c r="A7" s="33"/>
      <c r="B7" s="20" t="s">
        <v>99</v>
      </c>
      <c r="C7" s="20" t="s">
        <v>100</v>
      </c>
      <c r="D7" s="22" t="s">
        <v>101</v>
      </c>
      <c r="E7" s="37"/>
      <c r="F7" s="37"/>
      <c r="G7" s="37"/>
      <c r="H7" s="37"/>
      <c r="I7" s="37"/>
      <c r="K7" s="33"/>
      <c r="L7" s="20" t="s">
        <v>103</v>
      </c>
      <c r="M7" s="20" t="s">
        <v>104</v>
      </c>
      <c r="N7" s="20" t="s">
        <v>37</v>
      </c>
      <c r="O7" s="20">
        <v>3462.0</v>
      </c>
      <c r="P7" s="20" t="s">
        <v>105</v>
      </c>
      <c r="Q7" s="30" t="s">
        <v>51</v>
      </c>
      <c r="R7" s="23">
        <v>1.0</v>
      </c>
      <c r="S7" s="23" t="s">
        <v>40</v>
      </c>
      <c r="T7" s="23" t="s">
        <v>40</v>
      </c>
      <c r="U7" s="23" t="s">
        <v>40</v>
      </c>
    </row>
    <row r="8">
      <c r="A8" s="33"/>
      <c r="B8" s="20" t="s">
        <v>110</v>
      </c>
      <c r="C8" s="48" t="s">
        <v>112</v>
      </c>
      <c r="D8" s="22" t="s">
        <v>113</v>
      </c>
      <c r="E8" s="37"/>
      <c r="F8" s="37"/>
      <c r="G8" s="37"/>
      <c r="H8" s="37"/>
      <c r="I8" s="37"/>
      <c r="K8" s="33"/>
      <c r="L8" s="20" t="s">
        <v>114</v>
      </c>
      <c r="M8" s="20" t="s">
        <v>115</v>
      </c>
      <c r="N8" s="20" t="s">
        <v>116</v>
      </c>
      <c r="O8" s="20">
        <v>2135.0</v>
      </c>
      <c r="P8" s="20" t="s">
        <v>117</v>
      </c>
      <c r="Q8" s="30" t="s">
        <v>51</v>
      </c>
      <c r="R8" s="23">
        <v>2.0</v>
      </c>
      <c r="S8" s="23" t="s">
        <v>40</v>
      </c>
      <c r="T8" s="23" t="s">
        <v>40</v>
      </c>
      <c r="U8" s="23" t="s">
        <v>40</v>
      </c>
    </row>
    <row r="9">
      <c r="A9" s="33"/>
      <c r="B9" s="20" t="s">
        <v>120</v>
      </c>
      <c r="C9" s="20" t="s">
        <v>121</v>
      </c>
      <c r="D9" s="22" t="s">
        <v>122</v>
      </c>
      <c r="E9" s="37"/>
      <c r="F9" s="37"/>
      <c r="G9" s="37"/>
      <c r="H9" s="37"/>
      <c r="I9" s="37"/>
      <c r="K9" s="33"/>
      <c r="L9" s="20" t="s">
        <v>123</v>
      </c>
      <c r="M9" s="20" t="s">
        <v>124</v>
      </c>
      <c r="N9" s="20" t="s">
        <v>53</v>
      </c>
      <c r="O9" s="20">
        <v>3439.0</v>
      </c>
      <c r="P9" s="20" t="s">
        <v>126</v>
      </c>
      <c r="Q9" s="30" t="s">
        <v>127</v>
      </c>
      <c r="R9" s="23">
        <v>3.0</v>
      </c>
      <c r="S9" s="23" t="s">
        <v>40</v>
      </c>
      <c r="T9" s="23" t="s">
        <v>40</v>
      </c>
      <c r="U9" s="23" t="s">
        <v>40</v>
      </c>
    </row>
    <row r="10">
      <c r="A10" s="33"/>
      <c r="B10" s="20" t="s">
        <v>129</v>
      </c>
      <c r="C10" s="20" t="s">
        <v>130</v>
      </c>
      <c r="D10" s="22" t="s">
        <v>131</v>
      </c>
      <c r="E10" s="23"/>
      <c r="F10" s="23">
        <v>1.0</v>
      </c>
      <c r="G10" s="23" t="s">
        <v>40</v>
      </c>
      <c r="H10" s="23" t="s">
        <v>40</v>
      </c>
      <c r="I10" s="23" t="s">
        <v>40</v>
      </c>
      <c r="K10" s="65"/>
      <c r="L10" s="20" t="s">
        <v>135</v>
      </c>
      <c r="M10" s="20" t="s">
        <v>136</v>
      </c>
      <c r="N10" s="20" t="s">
        <v>53</v>
      </c>
      <c r="O10" s="20">
        <v>3457.0</v>
      </c>
      <c r="P10" s="20" t="s">
        <v>138</v>
      </c>
      <c r="Q10" s="30" t="s">
        <v>139</v>
      </c>
      <c r="R10" s="23">
        <v>3.0</v>
      </c>
      <c r="S10" s="23" t="s">
        <v>40</v>
      </c>
      <c r="T10" s="23" t="s">
        <v>40</v>
      </c>
      <c r="U10" s="23" t="s">
        <v>40</v>
      </c>
    </row>
    <row r="11">
      <c r="A11" s="33"/>
      <c r="B11" s="20" t="s">
        <v>141</v>
      </c>
      <c r="C11" s="20" t="s">
        <v>109</v>
      </c>
      <c r="D11" s="22">
        <v>2.0</v>
      </c>
      <c r="E11" s="23"/>
      <c r="F11" s="23">
        <v>2.0</v>
      </c>
      <c r="G11" s="23" t="s">
        <v>40</v>
      </c>
      <c r="H11" s="23" t="s">
        <v>40</v>
      </c>
      <c r="I11" s="23" t="s">
        <v>40</v>
      </c>
    </row>
    <row r="12">
      <c r="A12" s="33"/>
      <c r="B12" s="20" t="s">
        <v>144</v>
      </c>
      <c r="C12" s="20" t="s">
        <v>145</v>
      </c>
      <c r="D12" s="22" t="s">
        <v>146</v>
      </c>
      <c r="E12" s="37"/>
      <c r="F12" s="37"/>
      <c r="G12" s="37"/>
      <c r="H12" s="37"/>
      <c r="I12" s="37"/>
    </row>
    <row r="13">
      <c r="A13" s="65"/>
      <c r="B13" s="20" t="s">
        <v>149</v>
      </c>
      <c r="C13" s="20" t="s">
        <v>150</v>
      </c>
      <c r="D13" s="22" t="s">
        <v>151</v>
      </c>
      <c r="E13" s="37"/>
      <c r="F13" s="37"/>
      <c r="G13" s="37"/>
      <c r="H13" s="37"/>
      <c r="I13" s="37"/>
    </row>
    <row r="14">
      <c r="L14" s="69"/>
    </row>
    <row r="16">
      <c r="A16" s="6" t="s">
        <v>4</v>
      </c>
      <c r="B16" s="6" t="s">
        <v>11</v>
      </c>
      <c r="C16" s="8" t="s">
        <v>14</v>
      </c>
      <c r="D16" s="8" t="s">
        <v>25</v>
      </c>
      <c r="E16" s="10" t="s">
        <v>17</v>
      </c>
      <c r="F16" s="10" t="s">
        <v>18</v>
      </c>
      <c r="G16" s="10" t="s">
        <v>19</v>
      </c>
      <c r="H16" s="10" t="s">
        <v>20</v>
      </c>
      <c r="L16" s="69"/>
    </row>
    <row r="17">
      <c r="A17" s="72" t="s">
        <v>50</v>
      </c>
      <c r="B17" s="74" t="s">
        <v>155</v>
      </c>
      <c r="C17" s="20" t="s">
        <v>37</v>
      </c>
      <c r="D17" s="20" t="s">
        <v>158</v>
      </c>
      <c r="E17" s="23">
        <v>1.0</v>
      </c>
      <c r="F17" s="23" t="s">
        <v>40</v>
      </c>
      <c r="G17" s="23" t="s">
        <v>40</v>
      </c>
      <c r="H17" s="23" t="s">
        <v>40</v>
      </c>
      <c r="I17" s="76" t="s">
        <v>160</v>
      </c>
    </row>
    <row r="18">
      <c r="A18" s="33"/>
      <c r="B18" s="74" t="s">
        <v>164</v>
      </c>
      <c r="C18" s="20" t="s">
        <v>165</v>
      </c>
      <c r="D18" s="20" t="s">
        <v>166</v>
      </c>
      <c r="E18" s="23" t="s">
        <v>40</v>
      </c>
      <c r="F18" s="23">
        <v>1.0</v>
      </c>
      <c r="G18" s="23" t="s">
        <v>40</v>
      </c>
      <c r="H18" s="23" t="s">
        <v>40</v>
      </c>
    </row>
    <row r="19">
      <c r="A19" s="33"/>
      <c r="B19" s="74" t="s">
        <v>125</v>
      </c>
      <c r="C19" s="74" t="s">
        <v>169</v>
      </c>
      <c r="D19" s="74" t="s">
        <v>170</v>
      </c>
      <c r="E19" s="23" t="s">
        <v>40</v>
      </c>
      <c r="F19" s="79">
        <v>1.0</v>
      </c>
      <c r="G19" s="23" t="s">
        <v>40</v>
      </c>
      <c r="H19" s="23" t="s">
        <v>40</v>
      </c>
    </row>
    <row r="20">
      <c r="A20" s="65"/>
      <c r="B20" s="74" t="s">
        <v>173</v>
      </c>
      <c r="C20" s="74" t="s">
        <v>174</v>
      </c>
      <c r="D20" s="74" t="s">
        <v>175</v>
      </c>
      <c r="E20" s="79">
        <v>3.0</v>
      </c>
      <c r="F20" s="23" t="s">
        <v>40</v>
      </c>
      <c r="G20" s="23" t="s">
        <v>40</v>
      </c>
      <c r="H20" s="23" t="s">
        <v>40</v>
      </c>
    </row>
    <row r="23">
      <c r="A23" s="70" t="s">
        <v>178</v>
      </c>
      <c r="B23" s="70" t="s">
        <v>179</v>
      </c>
    </row>
    <row r="24">
      <c r="A24" s="70" t="s">
        <v>182</v>
      </c>
      <c r="B24" s="70">
        <v>3.0</v>
      </c>
    </row>
    <row r="25">
      <c r="A25" s="70" t="s">
        <v>184</v>
      </c>
      <c r="B25" s="70">
        <v>3.0</v>
      </c>
    </row>
    <row r="26">
      <c r="A26" s="70" t="s">
        <v>186</v>
      </c>
      <c r="B26" s="70">
        <v>7.0</v>
      </c>
    </row>
    <row r="27">
      <c r="A27" s="70" t="s">
        <v>187</v>
      </c>
      <c r="B27" s="70">
        <v>5.0</v>
      </c>
    </row>
  </sheetData>
  <mergeCells count="3">
    <mergeCell ref="A2:A13"/>
    <mergeCell ref="K2:K10"/>
    <mergeCell ref="A17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6.63"/>
    <col customWidth="1" min="3" max="3" width="21.63"/>
    <col customWidth="1" min="4" max="4" width="43.5"/>
    <col customWidth="1" min="5" max="5" width="11.88"/>
    <col customWidth="1" min="6" max="6" width="22.63"/>
    <col customWidth="1" min="7" max="7" width="5.88"/>
    <col customWidth="1" min="8" max="8" width="21.5"/>
    <col customWidth="1" min="9" max="9" width="10.75"/>
    <col customWidth="1" min="10" max="10" width="8.13"/>
    <col customWidth="1" min="12" max="12" width="11.25"/>
    <col customWidth="1" min="13" max="13" width="9.13"/>
    <col customWidth="1" min="15" max="15" width="16.25"/>
    <col customWidth="1" min="16" max="16" width="37.13"/>
    <col customWidth="1" min="17" max="17" width="32.88"/>
    <col customWidth="1" min="18" max="18" width="26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2"/>
      <c r="B2" s="14" t="s">
        <v>0</v>
      </c>
      <c r="C2" s="14" t="s">
        <v>1</v>
      </c>
      <c r="D2" s="14" t="s">
        <v>2</v>
      </c>
      <c r="E2" s="14" t="s">
        <v>3</v>
      </c>
      <c r="F2" s="14" t="s">
        <v>5</v>
      </c>
      <c r="G2" s="14" t="s">
        <v>6</v>
      </c>
      <c r="H2" s="14" t="s">
        <v>7</v>
      </c>
      <c r="I2" s="14" t="s">
        <v>29</v>
      </c>
      <c r="J2" s="14" t="s">
        <v>8</v>
      </c>
      <c r="K2" s="14" t="s">
        <v>9</v>
      </c>
      <c r="L2" s="17" t="s">
        <v>10</v>
      </c>
      <c r="M2" s="17" t="s">
        <v>32</v>
      </c>
      <c r="N2" s="17" t="s">
        <v>13</v>
      </c>
      <c r="O2" s="17" t="s">
        <v>33</v>
      </c>
      <c r="P2" s="17" t="s">
        <v>35</v>
      </c>
      <c r="Q2" s="21" t="s">
        <v>36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24"/>
      <c r="B3" s="26">
        <v>1.0</v>
      </c>
      <c r="C3" s="26">
        <v>9.27520004985E11</v>
      </c>
      <c r="D3" s="26" t="s">
        <v>41</v>
      </c>
      <c r="E3" s="26"/>
      <c r="F3" s="26" t="s">
        <v>42</v>
      </c>
      <c r="G3" s="29">
        <v>2518.0</v>
      </c>
      <c r="H3" s="26" t="s">
        <v>48</v>
      </c>
      <c r="I3" s="26"/>
      <c r="J3" s="26" t="s">
        <v>50</v>
      </c>
      <c r="K3" s="26" t="s">
        <v>39</v>
      </c>
      <c r="L3" s="35" t="s">
        <v>55</v>
      </c>
      <c r="M3" s="35"/>
      <c r="N3" s="35"/>
      <c r="O3" s="39"/>
      <c r="P3" s="41"/>
      <c r="Q3" s="4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4"/>
      <c r="B4" s="19">
        <v>1.0</v>
      </c>
      <c r="C4" s="47" t="s">
        <v>75</v>
      </c>
      <c r="D4" s="47" t="s">
        <v>79</v>
      </c>
      <c r="E4" s="54">
        <f>F4-1</f>
        <v>46185</v>
      </c>
      <c r="F4" s="58">
        <v>46186.0</v>
      </c>
      <c r="G4" s="47">
        <v>3070.0</v>
      </c>
      <c r="H4" s="47" t="s">
        <v>103</v>
      </c>
      <c r="I4" s="47"/>
      <c r="J4" s="19" t="s">
        <v>31</v>
      </c>
      <c r="K4" s="19" t="s">
        <v>39</v>
      </c>
      <c r="L4" s="62">
        <v>46185.0</v>
      </c>
      <c r="M4" s="64" t="s">
        <v>128</v>
      </c>
      <c r="N4" s="64" t="s">
        <v>132</v>
      </c>
      <c r="O4" s="39"/>
      <c r="P4" s="66"/>
      <c r="Q4" s="67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4"/>
      <c r="B5" s="27"/>
      <c r="C5" s="47" t="s">
        <v>142</v>
      </c>
      <c r="D5" s="47" t="s">
        <v>143</v>
      </c>
      <c r="E5" s="27"/>
      <c r="F5" s="58">
        <v>46186.0</v>
      </c>
      <c r="G5" s="47">
        <v>1137.0</v>
      </c>
      <c r="H5" s="47" t="s">
        <v>103</v>
      </c>
      <c r="I5" s="47"/>
      <c r="J5" s="27"/>
      <c r="K5" s="27"/>
      <c r="L5" s="62">
        <v>46185.0</v>
      </c>
      <c r="M5" s="64" t="s">
        <v>128</v>
      </c>
      <c r="N5" s="64" t="s">
        <v>132</v>
      </c>
      <c r="O5" s="39"/>
      <c r="P5" s="66"/>
      <c r="Q5" s="67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4"/>
      <c r="B6" s="19">
        <v>1.0</v>
      </c>
      <c r="C6" s="47" t="s">
        <v>153</v>
      </c>
      <c r="D6" s="47" t="s">
        <v>143</v>
      </c>
      <c r="E6" s="54">
        <f>F6-1</f>
        <v>46187</v>
      </c>
      <c r="F6" s="58">
        <v>46188.0</v>
      </c>
      <c r="G6" s="47">
        <v>4455.0</v>
      </c>
      <c r="H6" s="47" t="s">
        <v>103</v>
      </c>
      <c r="I6" s="47"/>
      <c r="J6" s="47" t="s">
        <v>31</v>
      </c>
      <c r="K6" s="47" t="s">
        <v>39</v>
      </c>
      <c r="L6" s="62">
        <v>46187.0</v>
      </c>
      <c r="M6" s="64" t="s">
        <v>156</v>
      </c>
      <c r="N6" s="64" t="s">
        <v>157</v>
      </c>
      <c r="O6" s="39"/>
      <c r="P6" s="62">
        <v>46190.0</v>
      </c>
      <c r="Q6" s="67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4"/>
      <c r="B7" s="27"/>
      <c r="C7" s="47" t="s">
        <v>161</v>
      </c>
      <c r="D7" s="47" t="s">
        <v>162</v>
      </c>
      <c r="E7" s="27"/>
      <c r="F7" s="58">
        <v>46188.0</v>
      </c>
      <c r="G7" s="47">
        <v>384.0</v>
      </c>
      <c r="H7" s="47" t="s">
        <v>103</v>
      </c>
      <c r="I7" s="47"/>
      <c r="J7" s="47" t="s">
        <v>31</v>
      </c>
      <c r="K7" s="47" t="s">
        <v>39</v>
      </c>
      <c r="L7" s="62">
        <v>46187.0</v>
      </c>
      <c r="M7" s="64" t="s">
        <v>128</v>
      </c>
      <c r="N7" s="64" t="s">
        <v>157</v>
      </c>
      <c r="O7" s="39"/>
      <c r="P7" s="62">
        <v>46190.0</v>
      </c>
      <c r="Q7" s="6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24"/>
      <c r="B8" s="47">
        <v>1.0</v>
      </c>
      <c r="C8" s="47">
        <v>9.50729004985E11</v>
      </c>
      <c r="D8" s="47" t="s">
        <v>167</v>
      </c>
      <c r="E8" s="77">
        <v>45822.0</v>
      </c>
      <c r="F8" s="47" t="s">
        <v>172</v>
      </c>
      <c r="G8" s="80">
        <v>4591.0</v>
      </c>
      <c r="H8" s="47" t="s">
        <v>48</v>
      </c>
      <c r="I8" s="47"/>
      <c r="J8" s="47" t="s">
        <v>50</v>
      </c>
      <c r="K8" s="47" t="s">
        <v>39</v>
      </c>
      <c r="L8" s="62">
        <v>46187.0</v>
      </c>
      <c r="M8" s="64" t="s">
        <v>176</v>
      </c>
      <c r="N8" s="64" t="s">
        <v>177</v>
      </c>
      <c r="O8" s="39"/>
      <c r="P8" s="66"/>
      <c r="Q8" s="67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24"/>
      <c r="B9" s="47">
        <v>1.0</v>
      </c>
      <c r="C9" s="47" t="s">
        <v>181</v>
      </c>
      <c r="D9" s="47" t="s">
        <v>183</v>
      </c>
      <c r="E9" s="58">
        <f>F9-1</f>
        <v>46191</v>
      </c>
      <c r="F9" s="58">
        <v>46192.0</v>
      </c>
      <c r="G9" s="47">
        <v>4646.0</v>
      </c>
      <c r="H9" s="47" t="s">
        <v>103</v>
      </c>
      <c r="I9" s="47"/>
      <c r="J9" s="47" t="s">
        <v>31</v>
      </c>
      <c r="K9" s="47" t="s">
        <v>39</v>
      </c>
      <c r="L9" s="83">
        <v>46191.0</v>
      </c>
      <c r="M9" s="64" t="s">
        <v>128</v>
      </c>
      <c r="N9" s="64" t="s">
        <v>191</v>
      </c>
      <c r="O9" s="39"/>
      <c r="P9" s="66"/>
      <c r="Q9" s="67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24"/>
      <c r="B10" s="19">
        <v>1.0</v>
      </c>
      <c r="C10" s="47" t="s">
        <v>193</v>
      </c>
      <c r="D10" s="47" t="s">
        <v>194</v>
      </c>
      <c r="E10" s="54">
        <f>F10-2</f>
        <v>46190</v>
      </c>
      <c r="F10" s="58">
        <v>46192.0</v>
      </c>
      <c r="G10" s="47">
        <v>780.0</v>
      </c>
      <c r="H10" s="47" t="s">
        <v>198</v>
      </c>
      <c r="I10" s="47"/>
      <c r="J10" s="19" t="s">
        <v>28</v>
      </c>
      <c r="K10" s="19" t="s">
        <v>39</v>
      </c>
      <c r="L10" s="62">
        <v>46190.0</v>
      </c>
      <c r="M10" s="64" t="s">
        <v>128</v>
      </c>
      <c r="N10" s="64" t="s">
        <v>200</v>
      </c>
      <c r="O10" s="39"/>
      <c r="P10" s="66"/>
      <c r="Q10" s="67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24"/>
      <c r="B11" s="49"/>
      <c r="C11" s="47" t="s">
        <v>203</v>
      </c>
      <c r="D11" s="47" t="s">
        <v>204</v>
      </c>
      <c r="E11" s="49"/>
      <c r="F11" s="58">
        <v>46192.0</v>
      </c>
      <c r="G11" s="47">
        <v>216.0</v>
      </c>
      <c r="H11" s="47" t="s">
        <v>198</v>
      </c>
      <c r="I11" s="47"/>
      <c r="J11" s="49"/>
      <c r="K11" s="49"/>
      <c r="L11" s="62">
        <v>46190.0</v>
      </c>
      <c r="M11" s="64" t="s">
        <v>128</v>
      </c>
      <c r="N11" s="64" t="s">
        <v>200</v>
      </c>
      <c r="O11" s="39"/>
      <c r="P11" s="66"/>
      <c r="Q11" s="67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24"/>
      <c r="B12" s="49"/>
      <c r="C12" s="47" t="s">
        <v>209</v>
      </c>
      <c r="D12" s="47" t="s">
        <v>210</v>
      </c>
      <c r="E12" s="49"/>
      <c r="F12" s="58">
        <v>46192.0</v>
      </c>
      <c r="G12" s="47">
        <v>144.0</v>
      </c>
      <c r="H12" s="47" t="s">
        <v>198</v>
      </c>
      <c r="I12" s="47"/>
      <c r="J12" s="49"/>
      <c r="K12" s="49"/>
      <c r="L12" s="62">
        <v>46190.0</v>
      </c>
      <c r="M12" s="64" t="s">
        <v>128</v>
      </c>
      <c r="N12" s="64" t="s">
        <v>200</v>
      </c>
      <c r="O12" s="39"/>
      <c r="P12" s="66"/>
      <c r="Q12" s="67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24"/>
      <c r="B13" s="27"/>
      <c r="C13" s="47" t="s">
        <v>213</v>
      </c>
      <c r="D13" s="47" t="s">
        <v>214</v>
      </c>
      <c r="E13" s="27"/>
      <c r="F13" s="58">
        <v>46192.0</v>
      </c>
      <c r="G13" s="47">
        <v>444.0</v>
      </c>
      <c r="H13" s="47" t="s">
        <v>198</v>
      </c>
      <c r="I13" s="47"/>
      <c r="J13" s="27"/>
      <c r="K13" s="27"/>
      <c r="L13" s="62">
        <v>46190.0</v>
      </c>
      <c r="M13" s="64" t="s">
        <v>128</v>
      </c>
      <c r="N13" s="64" t="s">
        <v>200</v>
      </c>
      <c r="O13" s="39"/>
      <c r="P13" s="66"/>
      <c r="Q13" s="67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24"/>
      <c r="B14" s="19">
        <v>1.0</v>
      </c>
      <c r="C14" s="47" t="s">
        <v>218</v>
      </c>
      <c r="D14" s="47" t="s">
        <v>219</v>
      </c>
      <c r="E14" s="54">
        <f>F14-1</f>
        <v>46191</v>
      </c>
      <c r="F14" s="58">
        <v>46192.0</v>
      </c>
      <c r="G14" s="47">
        <v>166.0</v>
      </c>
      <c r="H14" s="47" t="s">
        <v>34</v>
      </c>
      <c r="I14" s="47"/>
      <c r="J14" s="19" t="s">
        <v>28</v>
      </c>
      <c r="K14" s="19" t="s">
        <v>39</v>
      </c>
      <c r="L14" s="62">
        <v>46191.0</v>
      </c>
      <c r="M14" s="64" t="s">
        <v>128</v>
      </c>
      <c r="N14" s="64" t="s">
        <v>227</v>
      </c>
      <c r="O14" s="39"/>
      <c r="P14" s="66"/>
      <c r="Q14" s="67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24"/>
      <c r="B15" s="27"/>
      <c r="C15" s="47" t="s">
        <v>230</v>
      </c>
      <c r="D15" s="47" t="s">
        <v>231</v>
      </c>
      <c r="E15" s="27"/>
      <c r="F15" s="58">
        <v>46192.0</v>
      </c>
      <c r="G15" s="47">
        <v>866.0</v>
      </c>
      <c r="H15" s="47" t="s">
        <v>34</v>
      </c>
      <c r="I15" s="47"/>
      <c r="J15" s="27"/>
      <c r="K15" s="27"/>
      <c r="L15" s="62">
        <v>46191.0</v>
      </c>
      <c r="M15" s="64" t="s">
        <v>128</v>
      </c>
      <c r="N15" s="64" t="s">
        <v>227</v>
      </c>
      <c r="O15" s="39"/>
      <c r="P15" s="66"/>
      <c r="Q15" s="67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24"/>
      <c r="B16" s="47">
        <v>1.0</v>
      </c>
      <c r="C16" s="95" t="s">
        <v>235</v>
      </c>
      <c r="D16" s="97" t="s">
        <v>236</v>
      </c>
      <c r="E16" s="58">
        <f>F16-2</f>
        <v>46191</v>
      </c>
      <c r="F16" s="58">
        <v>46193.0</v>
      </c>
      <c r="G16" s="47">
        <v>3925.0</v>
      </c>
      <c r="H16" s="97" t="s">
        <v>114</v>
      </c>
      <c r="I16" s="97"/>
      <c r="J16" s="47" t="s">
        <v>31</v>
      </c>
      <c r="K16" s="47" t="s">
        <v>39</v>
      </c>
      <c r="L16" s="62">
        <v>46191.0</v>
      </c>
      <c r="M16" s="64" t="s">
        <v>239</v>
      </c>
      <c r="N16" s="64" t="s">
        <v>241</v>
      </c>
      <c r="O16" s="39"/>
      <c r="P16" s="62">
        <v>46193.0</v>
      </c>
      <c r="Q16" s="6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24"/>
      <c r="B17" s="19">
        <v>1.0</v>
      </c>
      <c r="C17" s="47" t="s">
        <v>245</v>
      </c>
      <c r="D17" s="47" t="s">
        <v>246</v>
      </c>
      <c r="E17" s="54">
        <f>F17-1</f>
        <v>46193</v>
      </c>
      <c r="F17" s="58">
        <v>46194.0</v>
      </c>
      <c r="G17" s="47">
        <v>1002.0</v>
      </c>
      <c r="H17" s="47" t="s">
        <v>249</v>
      </c>
      <c r="I17" s="47"/>
      <c r="J17" s="19" t="s">
        <v>28</v>
      </c>
      <c r="K17" s="19" t="s">
        <v>39</v>
      </c>
      <c r="L17" s="62">
        <v>46193.0</v>
      </c>
      <c r="M17" s="64" t="s">
        <v>128</v>
      </c>
      <c r="N17" s="64" t="s">
        <v>254</v>
      </c>
      <c r="O17" s="39"/>
      <c r="P17" s="62">
        <v>46194.0</v>
      </c>
      <c r="Q17" s="67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24"/>
      <c r="B18" s="27"/>
      <c r="C18" s="47" t="s">
        <v>258</v>
      </c>
      <c r="D18" s="47" t="s">
        <v>259</v>
      </c>
      <c r="E18" s="27"/>
      <c r="F18" s="58">
        <v>46194.0</v>
      </c>
      <c r="G18" s="47">
        <v>1004.0</v>
      </c>
      <c r="H18" s="47" t="s">
        <v>249</v>
      </c>
      <c r="I18" s="47"/>
      <c r="J18" s="27"/>
      <c r="K18" s="27"/>
      <c r="L18" s="62">
        <v>46194.0</v>
      </c>
      <c r="M18" s="64" t="s">
        <v>128</v>
      </c>
      <c r="N18" s="64" t="s">
        <v>261</v>
      </c>
      <c r="O18" s="39"/>
      <c r="P18" s="62">
        <v>46195.0</v>
      </c>
      <c r="Q18" s="67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4"/>
      <c r="B19" s="19">
        <v>1.0</v>
      </c>
      <c r="C19" s="47" t="s">
        <v>263</v>
      </c>
      <c r="D19" s="47" t="s">
        <v>26</v>
      </c>
      <c r="E19" s="54">
        <f>F19-5</f>
        <v>46185</v>
      </c>
      <c r="F19" s="58">
        <v>46190.0</v>
      </c>
      <c r="G19" s="47">
        <v>1800.0</v>
      </c>
      <c r="H19" s="47" t="s">
        <v>30</v>
      </c>
      <c r="I19" s="47"/>
      <c r="J19" s="19" t="s">
        <v>31</v>
      </c>
      <c r="K19" s="19" t="s">
        <v>65</v>
      </c>
      <c r="L19" s="66"/>
      <c r="M19" s="66"/>
      <c r="N19" s="66"/>
      <c r="O19" s="39"/>
      <c r="P19" s="66"/>
      <c r="Q19" s="67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4"/>
      <c r="B20" s="27"/>
      <c r="C20" s="47" t="s">
        <v>268</v>
      </c>
      <c r="D20" s="47" t="s">
        <v>269</v>
      </c>
      <c r="E20" s="27"/>
      <c r="F20" s="58">
        <v>46190.0</v>
      </c>
      <c r="G20" s="47">
        <v>6321.0</v>
      </c>
      <c r="H20" s="47" t="s">
        <v>30</v>
      </c>
      <c r="I20" s="47"/>
      <c r="J20" s="27"/>
      <c r="K20" s="27"/>
      <c r="L20" s="66"/>
      <c r="M20" s="66"/>
      <c r="N20" s="66"/>
      <c r="O20" s="39"/>
      <c r="P20" s="66"/>
      <c r="Q20" s="67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76"/>
      <c r="B21" s="64">
        <v>1.0</v>
      </c>
      <c r="C21" s="47" t="s">
        <v>272</v>
      </c>
      <c r="D21" s="47" t="s">
        <v>273</v>
      </c>
      <c r="E21" s="54">
        <f>F21-5</f>
        <v>46190</v>
      </c>
      <c r="F21" s="58">
        <v>46195.0</v>
      </c>
      <c r="G21" s="47">
        <v>6228.0</v>
      </c>
      <c r="H21" s="47" t="s">
        <v>30</v>
      </c>
      <c r="I21" s="47"/>
      <c r="J21" s="64" t="s">
        <v>31</v>
      </c>
      <c r="K21" s="47" t="s">
        <v>65</v>
      </c>
      <c r="L21" s="66"/>
      <c r="M21" s="66"/>
      <c r="N21" s="66"/>
      <c r="O21" s="39"/>
      <c r="P21" s="66"/>
      <c r="Q21" s="67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76"/>
      <c r="B22" s="64">
        <v>1.0</v>
      </c>
      <c r="C22" s="47" t="s">
        <v>278</v>
      </c>
      <c r="D22" s="47" t="s">
        <v>273</v>
      </c>
      <c r="E22" s="27"/>
      <c r="F22" s="58">
        <v>46195.0</v>
      </c>
      <c r="G22" s="47">
        <v>8554.0</v>
      </c>
      <c r="H22" s="47" t="s">
        <v>30</v>
      </c>
      <c r="I22" s="47"/>
      <c r="J22" s="64" t="s">
        <v>31</v>
      </c>
      <c r="K22" s="47" t="s">
        <v>65</v>
      </c>
      <c r="L22" s="66"/>
      <c r="M22" s="66"/>
      <c r="N22" s="66"/>
      <c r="O22" s="39"/>
      <c r="P22" s="66"/>
      <c r="Q22" s="67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76"/>
      <c r="B23" s="64">
        <v>1.0</v>
      </c>
      <c r="C23" s="47" t="s">
        <v>279</v>
      </c>
      <c r="D23" s="47" t="s">
        <v>183</v>
      </c>
      <c r="E23" s="54">
        <f>F23-1</f>
        <v>46195</v>
      </c>
      <c r="F23" s="58">
        <v>46196.0</v>
      </c>
      <c r="G23" s="47">
        <v>4360.0</v>
      </c>
      <c r="H23" s="47" t="s">
        <v>103</v>
      </c>
      <c r="I23" s="47"/>
      <c r="J23" s="119" t="s">
        <v>31</v>
      </c>
      <c r="K23" s="19" t="s">
        <v>39</v>
      </c>
      <c r="L23" s="62">
        <v>46195.0</v>
      </c>
      <c r="M23" s="64" t="s">
        <v>128</v>
      </c>
      <c r="N23" s="64" t="s">
        <v>283</v>
      </c>
      <c r="O23" s="39"/>
      <c r="P23" s="66"/>
      <c r="Q23" s="6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76"/>
      <c r="B24" s="64">
        <v>1.0</v>
      </c>
      <c r="C24" s="47" t="s">
        <v>284</v>
      </c>
      <c r="D24" s="47" t="s">
        <v>183</v>
      </c>
      <c r="E24" s="49"/>
      <c r="F24" s="58">
        <v>46196.0</v>
      </c>
      <c r="G24" s="47">
        <v>4604.0</v>
      </c>
      <c r="H24" s="47" t="s">
        <v>103</v>
      </c>
      <c r="I24" s="47"/>
      <c r="J24" s="49"/>
      <c r="K24" s="49"/>
      <c r="L24" s="62">
        <v>46195.0</v>
      </c>
      <c r="M24" s="64" t="s">
        <v>128</v>
      </c>
      <c r="N24" s="64" t="s">
        <v>285</v>
      </c>
      <c r="O24" s="39"/>
      <c r="P24" s="66"/>
      <c r="Q24" s="67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76"/>
      <c r="B25" s="64">
        <v>1.0</v>
      </c>
      <c r="C25" s="47" t="s">
        <v>288</v>
      </c>
      <c r="D25" s="47" t="s">
        <v>183</v>
      </c>
      <c r="E25" s="27"/>
      <c r="F25" s="58">
        <v>46196.0</v>
      </c>
      <c r="G25" s="47">
        <v>3468.0</v>
      </c>
      <c r="H25" s="47" t="s">
        <v>103</v>
      </c>
      <c r="I25" s="47"/>
      <c r="J25" s="27"/>
      <c r="K25" s="27"/>
      <c r="L25" s="62">
        <v>46195.0</v>
      </c>
      <c r="M25" s="64" t="s">
        <v>128</v>
      </c>
      <c r="N25" s="64" t="s">
        <v>289</v>
      </c>
      <c r="O25" s="39"/>
      <c r="P25" s="66"/>
      <c r="Q25" s="67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76"/>
      <c r="B26" s="119">
        <v>1.0</v>
      </c>
      <c r="C26" s="126" t="s">
        <v>294</v>
      </c>
      <c r="D26" s="126" t="s">
        <v>297</v>
      </c>
      <c r="E26" s="129">
        <f>F26-3</f>
        <v>46194</v>
      </c>
      <c r="F26" s="130">
        <v>46197.0</v>
      </c>
      <c r="G26" s="126">
        <v>1127.0</v>
      </c>
      <c r="H26" s="19" t="s">
        <v>135</v>
      </c>
      <c r="I26" s="47"/>
      <c r="J26" s="119" t="s">
        <v>31</v>
      </c>
      <c r="K26" s="64" t="s">
        <v>39</v>
      </c>
      <c r="L26" s="62">
        <v>46925.0</v>
      </c>
      <c r="M26" s="132" t="s">
        <v>304</v>
      </c>
      <c r="N26" s="64" t="s">
        <v>305</v>
      </c>
      <c r="O26" s="39"/>
      <c r="P26" s="73"/>
      <c r="Q26" s="134" t="s">
        <v>308</v>
      </c>
      <c r="R26" s="7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76"/>
      <c r="B27" s="27"/>
      <c r="C27" s="126" t="s">
        <v>309</v>
      </c>
      <c r="D27" s="126" t="s">
        <v>310</v>
      </c>
      <c r="E27" s="27"/>
      <c r="F27" s="130">
        <v>46197.0</v>
      </c>
      <c r="G27" s="126">
        <v>1532.0</v>
      </c>
      <c r="H27" s="27"/>
      <c r="I27" s="47"/>
      <c r="J27" s="27"/>
      <c r="K27" s="64" t="s">
        <v>39</v>
      </c>
      <c r="L27" s="62">
        <v>46925.0</v>
      </c>
      <c r="M27" s="132" t="s">
        <v>304</v>
      </c>
      <c r="N27" s="64" t="s">
        <v>305</v>
      </c>
      <c r="O27" s="39"/>
      <c r="P27" s="73"/>
      <c r="Q27" s="134" t="s">
        <v>308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64">
        <v>1.0</v>
      </c>
      <c r="C28" s="126">
        <v>9.52265004985E11</v>
      </c>
      <c r="D28" s="126" t="s">
        <v>313</v>
      </c>
      <c r="E28" s="130">
        <v>46193.0</v>
      </c>
      <c r="F28" s="130" t="s">
        <v>315</v>
      </c>
      <c r="G28" s="126">
        <v>3831.0</v>
      </c>
      <c r="H28" s="47" t="s">
        <v>48</v>
      </c>
      <c r="I28" s="47"/>
      <c r="J28" s="64" t="s">
        <v>50</v>
      </c>
      <c r="K28" s="64" t="s">
        <v>39</v>
      </c>
      <c r="L28" s="62">
        <v>46193.0</v>
      </c>
      <c r="M28" s="64" t="s">
        <v>176</v>
      </c>
      <c r="N28" s="64" t="s">
        <v>316</v>
      </c>
      <c r="O28" s="39"/>
      <c r="P28" s="73"/>
      <c r="Q28" s="67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64">
        <v>2.0</v>
      </c>
      <c r="C29" s="126">
        <v>9.53609004985E11</v>
      </c>
      <c r="D29" s="126" t="s">
        <v>41</v>
      </c>
      <c r="E29" s="130">
        <v>46193.0</v>
      </c>
      <c r="F29" s="130" t="s">
        <v>318</v>
      </c>
      <c r="G29" s="126">
        <v>2518.0</v>
      </c>
      <c r="H29" s="47" t="s">
        <v>48</v>
      </c>
      <c r="I29" s="47"/>
      <c r="J29" s="64" t="s">
        <v>50</v>
      </c>
      <c r="K29" s="64" t="s">
        <v>39</v>
      </c>
      <c r="L29" s="62">
        <v>46193.0</v>
      </c>
      <c r="M29" s="64" t="s">
        <v>176</v>
      </c>
      <c r="N29" s="64" t="s">
        <v>320</v>
      </c>
      <c r="O29" s="39"/>
      <c r="P29" s="73"/>
      <c r="Q29" s="13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64">
        <v>1.0</v>
      </c>
      <c r="C30" s="126"/>
      <c r="D30" s="126">
        <v>4.9990010037981E13</v>
      </c>
      <c r="E30" s="130">
        <v>46189.0</v>
      </c>
      <c r="F30" s="130">
        <v>46190.4375</v>
      </c>
      <c r="G30" s="126">
        <v>1098.0</v>
      </c>
      <c r="H30" s="47" t="s">
        <v>322</v>
      </c>
      <c r="I30" s="47"/>
      <c r="J30" s="64" t="s">
        <v>323</v>
      </c>
      <c r="K30" s="64" t="s">
        <v>39</v>
      </c>
      <c r="L30" s="62">
        <v>46189.0</v>
      </c>
      <c r="M30" s="64" t="s">
        <v>176</v>
      </c>
      <c r="N30" s="64" t="s">
        <v>324</v>
      </c>
      <c r="O30" s="39"/>
      <c r="P30" s="73"/>
      <c r="Q30" s="67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64">
        <v>1.0</v>
      </c>
      <c r="C31" s="126">
        <v>9.54361004985E11</v>
      </c>
      <c r="D31" s="126" t="s">
        <v>326</v>
      </c>
      <c r="E31" s="146">
        <v>46196.0</v>
      </c>
      <c r="F31" s="130" t="s">
        <v>327</v>
      </c>
      <c r="G31" s="126">
        <v>1672.0</v>
      </c>
      <c r="H31" s="47" t="s">
        <v>48</v>
      </c>
      <c r="I31" s="25"/>
      <c r="J31" s="45" t="s">
        <v>50</v>
      </c>
      <c r="K31" s="64" t="s">
        <v>39</v>
      </c>
      <c r="L31" s="149">
        <v>46196.0</v>
      </c>
      <c r="M31" s="132" t="s">
        <v>304</v>
      </c>
      <c r="N31" s="45" t="s">
        <v>328</v>
      </c>
      <c r="O31" s="39"/>
      <c r="P31" s="149">
        <v>46199.0</v>
      </c>
      <c r="Q31" s="151" t="s">
        <v>329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5">
        <v>1.0</v>
      </c>
      <c r="C32" s="154" t="s">
        <v>330</v>
      </c>
      <c r="D32" s="156" t="s">
        <v>331</v>
      </c>
      <c r="E32" s="157">
        <v>46200.0</v>
      </c>
      <c r="F32" s="158">
        <v>46201.0</v>
      </c>
      <c r="G32" s="160">
        <v>1114.0</v>
      </c>
      <c r="H32" s="38" t="s">
        <v>34</v>
      </c>
      <c r="I32" s="25"/>
      <c r="J32" s="45" t="s">
        <v>28</v>
      </c>
      <c r="K32" s="45" t="s">
        <v>39</v>
      </c>
      <c r="L32" s="149">
        <v>46200.0</v>
      </c>
      <c r="M32" s="64" t="s">
        <v>176</v>
      </c>
      <c r="N32" s="45" t="s">
        <v>335</v>
      </c>
      <c r="O32" s="39"/>
      <c r="P32" s="149">
        <v>46201.0</v>
      </c>
      <c r="Q32" s="162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5">
        <v>1.0</v>
      </c>
      <c r="C33" s="169">
        <v>9.63453004985E11</v>
      </c>
      <c r="D33" s="170" t="s">
        <v>344</v>
      </c>
      <c r="E33" s="146">
        <v>46202.0</v>
      </c>
      <c r="F33" s="171" t="s">
        <v>347</v>
      </c>
      <c r="G33" s="172">
        <v>3269.0</v>
      </c>
      <c r="H33" s="45" t="s">
        <v>48</v>
      </c>
      <c r="I33" s="25"/>
      <c r="J33" s="45" t="s">
        <v>50</v>
      </c>
      <c r="K33" s="45" t="s">
        <v>39</v>
      </c>
      <c r="L33" s="149">
        <v>46203.0</v>
      </c>
      <c r="M33" s="45" t="s">
        <v>176</v>
      </c>
      <c r="N33" s="45" t="s">
        <v>349</v>
      </c>
      <c r="O33" s="39"/>
      <c r="P33" s="73"/>
      <c r="Q33" s="151" t="s">
        <v>351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141">
        <v>1.0</v>
      </c>
      <c r="C34" s="156" t="s">
        <v>352</v>
      </c>
      <c r="D34" s="156" t="s">
        <v>353</v>
      </c>
      <c r="E34" s="146">
        <v>46198.0</v>
      </c>
      <c r="F34" s="177">
        <v>46203.0</v>
      </c>
      <c r="G34" s="160">
        <v>7794.0</v>
      </c>
      <c r="H34" s="47" t="s">
        <v>30</v>
      </c>
      <c r="I34" s="25"/>
      <c r="J34" s="45" t="s">
        <v>31</v>
      </c>
      <c r="K34" s="45" t="s">
        <v>65</v>
      </c>
      <c r="L34" s="149">
        <v>46199.0</v>
      </c>
      <c r="M34" s="45" t="s">
        <v>176</v>
      </c>
      <c r="N34" s="45" t="s">
        <v>354</v>
      </c>
      <c r="O34" s="39"/>
      <c r="P34" s="73"/>
      <c r="Q34" s="162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27"/>
      <c r="C35" s="75" t="s">
        <v>357</v>
      </c>
      <c r="D35" s="38" t="s">
        <v>163</v>
      </c>
      <c r="E35" s="25"/>
      <c r="F35" s="180">
        <v>46203.0</v>
      </c>
      <c r="G35" s="45">
        <v>810.0</v>
      </c>
      <c r="H35" s="38" t="s">
        <v>30</v>
      </c>
      <c r="I35" s="25"/>
      <c r="J35" s="45" t="s">
        <v>31</v>
      </c>
      <c r="K35" s="45" t="s">
        <v>65</v>
      </c>
      <c r="L35" s="149">
        <v>46203.0</v>
      </c>
      <c r="M35" s="45" t="s">
        <v>176</v>
      </c>
      <c r="N35" s="45" t="s">
        <v>360</v>
      </c>
      <c r="O35" s="39"/>
      <c r="P35" s="73"/>
      <c r="Q35" s="162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5">
        <v>1.0</v>
      </c>
      <c r="C36" s="184" t="s">
        <v>361</v>
      </c>
      <c r="D36" s="45" t="s">
        <v>362</v>
      </c>
      <c r="E36" s="25"/>
      <c r="F36" s="180">
        <v>46203.0</v>
      </c>
      <c r="G36" s="45">
        <v>1338.0</v>
      </c>
      <c r="H36" s="45" t="s">
        <v>363</v>
      </c>
      <c r="I36" s="25"/>
      <c r="J36" s="45" t="s">
        <v>28</v>
      </c>
      <c r="K36" s="45" t="s">
        <v>39</v>
      </c>
      <c r="L36" s="149">
        <v>46202.0</v>
      </c>
      <c r="M36" s="45" t="s">
        <v>176</v>
      </c>
      <c r="N36" s="45" t="s">
        <v>365</v>
      </c>
      <c r="O36" s="186" t="s">
        <v>276</v>
      </c>
      <c r="P36" s="73"/>
      <c r="Q36" s="162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5">
        <v>1.0</v>
      </c>
      <c r="C37" s="45" t="s">
        <v>367</v>
      </c>
      <c r="D37" s="151" t="s">
        <v>368</v>
      </c>
      <c r="E37" s="190">
        <v>46204.0</v>
      </c>
      <c r="F37" s="43">
        <v>46205.0</v>
      </c>
      <c r="G37" s="45">
        <v>1734.0</v>
      </c>
      <c r="H37" s="38" t="s">
        <v>34</v>
      </c>
      <c r="I37" s="25"/>
      <c r="J37" s="45" t="s">
        <v>28</v>
      </c>
      <c r="K37" s="45" t="s">
        <v>39</v>
      </c>
      <c r="L37" s="190">
        <v>46204.0</v>
      </c>
      <c r="M37" s="45" t="s">
        <v>176</v>
      </c>
      <c r="N37" s="45" t="s">
        <v>369</v>
      </c>
      <c r="O37" s="186" t="s">
        <v>276</v>
      </c>
      <c r="P37" s="25"/>
      <c r="Q37" s="162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5">
        <v>1.0</v>
      </c>
      <c r="C38" s="192">
        <v>9.65878004985E11</v>
      </c>
      <c r="D38" s="194" t="s">
        <v>370</v>
      </c>
      <c r="E38" s="195">
        <v>46217.0</v>
      </c>
      <c r="F38" s="196" t="s">
        <v>374</v>
      </c>
      <c r="G38" s="160">
        <v>4076.0</v>
      </c>
      <c r="H38" s="45" t="s">
        <v>48</v>
      </c>
      <c r="I38" s="45" t="s">
        <v>375</v>
      </c>
      <c r="J38" s="45" t="s">
        <v>50</v>
      </c>
      <c r="K38" s="45" t="s">
        <v>39</v>
      </c>
      <c r="L38" s="195">
        <v>46218.0</v>
      </c>
      <c r="M38" s="160" t="s">
        <v>176</v>
      </c>
      <c r="N38" s="45" t="s">
        <v>376</v>
      </c>
      <c r="O38" s="186" t="s">
        <v>276</v>
      </c>
      <c r="P38" s="25"/>
      <c r="Q38" s="162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5">
        <v>1.0</v>
      </c>
      <c r="C39" s="200">
        <v>9.65879004985E11</v>
      </c>
      <c r="D39" s="126" t="s">
        <v>379</v>
      </c>
      <c r="E39" s="195">
        <v>46211.0</v>
      </c>
      <c r="F39" s="201" t="s">
        <v>380</v>
      </c>
      <c r="G39" s="160">
        <v>4358.0</v>
      </c>
      <c r="H39" s="45" t="s">
        <v>48</v>
      </c>
      <c r="I39" s="45" t="s">
        <v>375</v>
      </c>
      <c r="J39" s="45" t="s">
        <v>50</v>
      </c>
      <c r="K39" s="45" t="s">
        <v>39</v>
      </c>
      <c r="L39" s="190">
        <v>46211.0</v>
      </c>
      <c r="M39" s="45" t="s">
        <v>176</v>
      </c>
      <c r="N39" s="45" t="s">
        <v>381</v>
      </c>
      <c r="O39" s="39"/>
      <c r="P39" s="25"/>
      <c r="Q39" s="162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5">
        <v>1.0</v>
      </c>
      <c r="C40" s="160">
        <v>9.66098004985E11</v>
      </c>
      <c r="D40" s="202" t="s">
        <v>382</v>
      </c>
      <c r="E40" s="195">
        <v>46211.0</v>
      </c>
      <c r="F40" s="160" t="s">
        <v>383</v>
      </c>
      <c r="G40" s="160">
        <v>4001.0</v>
      </c>
      <c r="H40" s="45" t="s">
        <v>48</v>
      </c>
      <c r="I40" s="45" t="s">
        <v>375</v>
      </c>
      <c r="J40" s="45" t="s">
        <v>50</v>
      </c>
      <c r="K40" s="45" t="s">
        <v>39</v>
      </c>
      <c r="L40" s="190">
        <v>46211.0</v>
      </c>
      <c r="M40" s="45" t="s">
        <v>176</v>
      </c>
      <c r="N40" s="45" t="s">
        <v>384</v>
      </c>
      <c r="O40" s="39"/>
      <c r="P40" s="25"/>
      <c r="Q40" s="16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5">
        <v>1.0</v>
      </c>
      <c r="C41" s="160">
        <v>9.68045004985E11</v>
      </c>
      <c r="D41" s="160" t="s">
        <v>385</v>
      </c>
      <c r="E41" s="195">
        <v>46216.0</v>
      </c>
      <c r="F41" s="160" t="s">
        <v>386</v>
      </c>
      <c r="G41" s="160">
        <v>3269.0</v>
      </c>
      <c r="H41" s="45" t="s">
        <v>48</v>
      </c>
      <c r="I41" s="45" t="s">
        <v>375</v>
      </c>
      <c r="J41" s="45" t="s">
        <v>50</v>
      </c>
      <c r="K41" s="45" t="s">
        <v>39</v>
      </c>
      <c r="L41" s="190">
        <v>46216.0</v>
      </c>
      <c r="M41" s="45" t="s">
        <v>176</v>
      </c>
      <c r="N41" s="45" t="s">
        <v>387</v>
      </c>
      <c r="O41" s="186" t="s">
        <v>276</v>
      </c>
      <c r="P41" s="25"/>
      <c r="Q41" s="162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5">
        <v>1.0</v>
      </c>
      <c r="C42" s="160" t="s">
        <v>388</v>
      </c>
      <c r="D42" s="160" t="s">
        <v>389</v>
      </c>
      <c r="E42" s="203">
        <v>46208.0</v>
      </c>
      <c r="F42" s="203">
        <v>46209.0</v>
      </c>
      <c r="G42" s="160">
        <v>1344.0</v>
      </c>
      <c r="H42" s="45" t="s">
        <v>363</v>
      </c>
      <c r="I42" s="45" t="s">
        <v>375</v>
      </c>
      <c r="J42" s="45" t="s">
        <v>28</v>
      </c>
      <c r="K42" s="45" t="s">
        <v>39</v>
      </c>
      <c r="L42" s="190">
        <v>46208.0</v>
      </c>
      <c r="M42" s="45" t="s">
        <v>128</v>
      </c>
      <c r="N42" s="45" t="s">
        <v>390</v>
      </c>
      <c r="O42" s="39"/>
      <c r="P42" s="25" t="s">
        <v>391</v>
      </c>
      <c r="Q42" s="162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5">
        <v>1.0</v>
      </c>
      <c r="C43" s="160"/>
      <c r="D43" s="160" t="s">
        <v>392</v>
      </c>
      <c r="E43" s="203">
        <v>46207.0</v>
      </c>
      <c r="F43" s="204">
        <v>46208.78125</v>
      </c>
      <c r="G43" s="160">
        <v>1338.0</v>
      </c>
      <c r="H43" s="45" t="s">
        <v>393</v>
      </c>
      <c r="I43" s="45" t="s">
        <v>375</v>
      </c>
      <c r="J43" s="45" t="s">
        <v>50</v>
      </c>
      <c r="K43" s="45" t="s">
        <v>39</v>
      </c>
      <c r="L43" s="190">
        <v>46207.0</v>
      </c>
      <c r="M43" s="45" t="s">
        <v>128</v>
      </c>
      <c r="N43" s="45" t="s">
        <v>394</v>
      </c>
      <c r="O43" s="39"/>
      <c r="P43" s="25"/>
      <c r="Q43" s="162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141">
        <v>1.0</v>
      </c>
      <c r="C44" s="160" t="s">
        <v>395</v>
      </c>
      <c r="D44" s="160" t="s">
        <v>396</v>
      </c>
      <c r="E44" s="195">
        <v>46208.0</v>
      </c>
      <c r="F44" s="195">
        <v>46209.0</v>
      </c>
      <c r="G44" s="160">
        <v>1002.0</v>
      </c>
      <c r="H44" s="45" t="s">
        <v>141</v>
      </c>
      <c r="I44" s="45" t="s">
        <v>109</v>
      </c>
      <c r="J44" s="45" t="s">
        <v>28</v>
      </c>
      <c r="K44" s="45" t="s">
        <v>39</v>
      </c>
      <c r="L44" s="190">
        <v>46208.0</v>
      </c>
      <c r="M44" s="45" t="s">
        <v>128</v>
      </c>
      <c r="N44" s="45" t="s">
        <v>397</v>
      </c>
      <c r="O44" s="186" t="s">
        <v>276</v>
      </c>
      <c r="P44" s="45">
        <v>6.369662676E9</v>
      </c>
      <c r="Q44" s="151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27"/>
      <c r="C45" s="160" t="s">
        <v>398</v>
      </c>
      <c r="D45" s="160" t="s">
        <v>399</v>
      </c>
      <c r="E45" s="195">
        <v>46208.0</v>
      </c>
      <c r="F45" s="195">
        <v>46209.0</v>
      </c>
      <c r="G45" s="160">
        <v>1002.0</v>
      </c>
      <c r="H45" s="45" t="s">
        <v>141</v>
      </c>
      <c r="I45" s="45" t="s">
        <v>109</v>
      </c>
      <c r="J45" s="45" t="s">
        <v>28</v>
      </c>
      <c r="K45" s="45" t="s">
        <v>39</v>
      </c>
      <c r="L45" s="190">
        <v>46208.0</v>
      </c>
      <c r="M45" s="45" t="s">
        <v>128</v>
      </c>
      <c r="N45" s="45" t="s">
        <v>397</v>
      </c>
      <c r="O45" s="186" t="s">
        <v>276</v>
      </c>
      <c r="P45" s="45">
        <v>6.369662676E9</v>
      </c>
      <c r="Q45" s="151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5">
        <v>1.0</v>
      </c>
      <c r="C46" s="160">
        <v>9.68905004985E11</v>
      </c>
      <c r="D46" s="160" t="s">
        <v>400</v>
      </c>
      <c r="E46" s="195">
        <v>46212.0</v>
      </c>
      <c r="F46" s="160" t="s">
        <v>401</v>
      </c>
      <c r="G46" s="160">
        <v>2730.0</v>
      </c>
      <c r="H46" s="45" t="s">
        <v>48</v>
      </c>
      <c r="I46" s="45" t="s">
        <v>375</v>
      </c>
      <c r="J46" s="45" t="s">
        <v>50</v>
      </c>
      <c r="K46" s="45" t="s">
        <v>39</v>
      </c>
      <c r="L46" s="190">
        <v>46213.0</v>
      </c>
      <c r="M46" s="45" t="s">
        <v>128</v>
      </c>
      <c r="N46" s="45" t="s">
        <v>402</v>
      </c>
      <c r="O46" s="186" t="s">
        <v>276</v>
      </c>
      <c r="P46" s="25"/>
      <c r="Q46" s="162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5">
        <v>1.0</v>
      </c>
      <c r="C47" s="160">
        <v>9.68904004985E11</v>
      </c>
      <c r="D47" s="160" t="s">
        <v>403</v>
      </c>
      <c r="E47" s="195">
        <v>46219.0</v>
      </c>
      <c r="F47" s="160" t="s">
        <v>404</v>
      </c>
      <c r="G47" s="160">
        <v>4770.0</v>
      </c>
      <c r="H47" s="45" t="s">
        <v>48</v>
      </c>
      <c r="I47" s="45" t="s">
        <v>375</v>
      </c>
      <c r="J47" s="45" t="s">
        <v>50</v>
      </c>
      <c r="K47" s="45" t="s">
        <v>39</v>
      </c>
      <c r="L47" s="190">
        <v>46219.0</v>
      </c>
      <c r="M47" s="45" t="s">
        <v>128</v>
      </c>
      <c r="N47" s="45" t="s">
        <v>405</v>
      </c>
      <c r="O47" s="186" t="s">
        <v>276</v>
      </c>
      <c r="P47" s="25"/>
      <c r="Q47" s="16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24.0" customHeight="1">
      <c r="A48" s="205"/>
      <c r="B48" s="206">
        <v>1.0</v>
      </c>
      <c r="C48" s="206" t="s">
        <v>406</v>
      </c>
      <c r="D48" s="206" t="s">
        <v>407</v>
      </c>
      <c r="E48" s="207">
        <v>46220.0</v>
      </c>
      <c r="F48" s="208">
        <v>46221.0</v>
      </c>
      <c r="G48" s="206">
        <v>7632.0</v>
      </c>
      <c r="H48" s="209" t="s">
        <v>103</v>
      </c>
      <c r="I48" s="206" t="s">
        <v>375</v>
      </c>
      <c r="J48" s="206" t="s">
        <v>31</v>
      </c>
      <c r="K48" s="206" t="s">
        <v>39</v>
      </c>
      <c r="L48" s="207">
        <v>46221.0</v>
      </c>
      <c r="M48" s="132" t="s">
        <v>304</v>
      </c>
      <c r="N48" s="206" t="s">
        <v>408</v>
      </c>
      <c r="O48" s="186" t="s">
        <v>409</v>
      </c>
      <c r="P48" s="64" t="s">
        <v>410</v>
      </c>
      <c r="Q48" s="67"/>
      <c r="R48" s="210" t="s">
        <v>411</v>
      </c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</row>
    <row r="49">
      <c r="A49" s="205"/>
      <c r="B49" s="64">
        <v>1.0</v>
      </c>
      <c r="C49" s="186" t="s">
        <v>412</v>
      </c>
      <c r="D49" s="186" t="s">
        <v>413</v>
      </c>
      <c r="E49" s="211">
        <v>46217.0</v>
      </c>
      <c r="F49" s="212">
        <v>46221.0</v>
      </c>
      <c r="G49" s="186">
        <v>4190.0</v>
      </c>
      <c r="H49" s="47" t="s">
        <v>135</v>
      </c>
      <c r="I49" s="64" t="s">
        <v>53</v>
      </c>
      <c r="J49" s="64" t="s">
        <v>31</v>
      </c>
      <c r="K49" s="64" t="s">
        <v>39</v>
      </c>
      <c r="L49" s="213">
        <v>46218.0</v>
      </c>
      <c r="M49" s="45" t="s">
        <v>176</v>
      </c>
      <c r="N49" s="64" t="s">
        <v>414</v>
      </c>
      <c r="O49" s="186" t="s">
        <v>276</v>
      </c>
      <c r="P49" s="66"/>
      <c r="Q49" s="67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</row>
    <row r="50">
      <c r="A50" s="205"/>
      <c r="B50" s="186">
        <v>1.0</v>
      </c>
      <c r="C50" s="214" t="s">
        <v>415</v>
      </c>
      <c r="D50" s="186" t="s">
        <v>416</v>
      </c>
      <c r="E50" s="211">
        <v>46217.0</v>
      </c>
      <c r="F50" s="212">
        <v>46220.0</v>
      </c>
      <c r="G50" s="186">
        <v>1470.0</v>
      </c>
      <c r="H50" s="215" t="s">
        <v>417</v>
      </c>
      <c r="I50" s="186" t="s">
        <v>418</v>
      </c>
      <c r="J50" s="186" t="s">
        <v>31</v>
      </c>
      <c r="K50" s="186" t="s">
        <v>39</v>
      </c>
      <c r="L50" s="211">
        <v>46217.0</v>
      </c>
      <c r="M50" s="160" t="s">
        <v>176</v>
      </c>
      <c r="N50" s="186" t="s">
        <v>419</v>
      </c>
      <c r="O50" s="186" t="s">
        <v>276</v>
      </c>
      <c r="P50" s="64" t="s">
        <v>420</v>
      </c>
      <c r="Q50" s="67"/>
      <c r="R50" s="210" t="s">
        <v>411</v>
      </c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</row>
    <row r="51" ht="19.5" customHeight="1">
      <c r="A51" s="205"/>
      <c r="B51" s="216">
        <v>1.0</v>
      </c>
      <c r="C51" s="216" t="s">
        <v>421</v>
      </c>
      <c r="D51" s="216" t="s">
        <v>422</v>
      </c>
      <c r="E51" s="217">
        <v>46223.0</v>
      </c>
      <c r="F51" s="218">
        <v>46224.0</v>
      </c>
      <c r="G51" s="216">
        <f>2911+2721</f>
        <v>5632</v>
      </c>
      <c r="H51" s="216" t="s">
        <v>103</v>
      </c>
      <c r="I51" s="216" t="s">
        <v>375</v>
      </c>
      <c r="J51" s="216" t="s">
        <v>31</v>
      </c>
      <c r="K51" s="186" t="s">
        <v>39</v>
      </c>
      <c r="L51" s="211">
        <v>46223.0</v>
      </c>
      <c r="M51" s="160" t="s">
        <v>176</v>
      </c>
      <c r="N51" s="186" t="s">
        <v>423</v>
      </c>
      <c r="O51" s="186" t="s">
        <v>276</v>
      </c>
      <c r="P51" s="64" t="s">
        <v>424</v>
      </c>
      <c r="Q51" s="134"/>
      <c r="R51" s="210" t="s">
        <v>425</v>
      </c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</row>
    <row r="52" ht="20.25" customHeight="1">
      <c r="A52" s="205"/>
      <c r="B52" s="186">
        <v>1.0</v>
      </c>
      <c r="C52" s="186">
        <v>9.71458004985E11</v>
      </c>
      <c r="D52" s="186" t="s">
        <v>426</v>
      </c>
      <c r="E52" s="211">
        <v>46227.0</v>
      </c>
      <c r="F52" s="186" t="s">
        <v>427</v>
      </c>
      <c r="G52" s="186">
        <v>6241.0</v>
      </c>
      <c r="H52" s="186" t="s">
        <v>393</v>
      </c>
      <c r="I52" s="186" t="s">
        <v>375</v>
      </c>
      <c r="J52" s="186" t="s">
        <v>50</v>
      </c>
      <c r="K52" s="64" t="s">
        <v>39</v>
      </c>
      <c r="L52" s="213">
        <v>46228.0</v>
      </c>
      <c r="M52" s="160" t="s">
        <v>176</v>
      </c>
      <c r="N52" s="64" t="s">
        <v>428</v>
      </c>
      <c r="O52" s="186" t="s">
        <v>276</v>
      </c>
      <c r="P52" s="66"/>
      <c r="Q52" s="67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</row>
    <row r="53" ht="19.5" customHeight="1">
      <c r="A53" s="4"/>
      <c r="B53" s="141">
        <v>1.0</v>
      </c>
      <c r="C53" s="219" t="s">
        <v>429</v>
      </c>
      <c r="D53" s="220" t="s">
        <v>430</v>
      </c>
      <c r="E53" s="221">
        <v>46217.0</v>
      </c>
      <c r="F53" s="222">
        <v>46218.0</v>
      </c>
      <c r="G53" s="220">
        <v>1002.0</v>
      </c>
      <c r="H53" s="223" t="s">
        <v>34</v>
      </c>
      <c r="I53" s="119" t="s">
        <v>375</v>
      </c>
      <c r="J53" s="141" t="s">
        <v>28</v>
      </c>
      <c r="K53" s="119" t="s">
        <v>39</v>
      </c>
      <c r="L53" s="224">
        <v>46218.0</v>
      </c>
      <c r="M53" s="141" t="s">
        <v>176</v>
      </c>
      <c r="N53" s="141" t="s">
        <v>431</v>
      </c>
      <c r="O53" s="186" t="s">
        <v>276</v>
      </c>
      <c r="P53" s="225"/>
      <c r="Q53" s="22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160">
        <v>1.0</v>
      </c>
      <c r="C54" s="160">
        <v>9.72046004985E11</v>
      </c>
      <c r="D54" s="160" t="s">
        <v>432</v>
      </c>
      <c r="E54" s="195">
        <v>46225.0</v>
      </c>
      <c r="F54" s="160" t="s">
        <v>433</v>
      </c>
      <c r="G54" s="160">
        <v>2063.0</v>
      </c>
      <c r="H54" s="160" t="s">
        <v>48</v>
      </c>
      <c r="I54" s="186" t="s">
        <v>375</v>
      </c>
      <c r="J54" s="186" t="s">
        <v>50</v>
      </c>
      <c r="K54" s="45" t="s">
        <v>39</v>
      </c>
      <c r="L54" s="190">
        <v>46225.0</v>
      </c>
      <c r="M54" s="141" t="s">
        <v>176</v>
      </c>
      <c r="N54" s="45" t="s">
        <v>324</v>
      </c>
      <c r="O54" s="186" t="s">
        <v>276</v>
      </c>
      <c r="P54" s="25"/>
      <c r="Q54" s="162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160">
        <v>1.0</v>
      </c>
      <c r="C55" s="160">
        <v>9.72044004985E11</v>
      </c>
      <c r="D55" s="160" t="s">
        <v>434</v>
      </c>
      <c r="E55" s="195">
        <v>46225.0</v>
      </c>
      <c r="F55" s="160" t="s">
        <v>433</v>
      </c>
      <c r="G55" s="160">
        <v>4084.0</v>
      </c>
      <c r="H55" s="160" t="s">
        <v>48</v>
      </c>
      <c r="I55" s="186" t="s">
        <v>375</v>
      </c>
      <c r="J55" s="186" t="s">
        <v>50</v>
      </c>
      <c r="K55" s="45" t="s">
        <v>39</v>
      </c>
      <c r="L55" s="190">
        <v>46225.0</v>
      </c>
      <c r="M55" s="141" t="s">
        <v>176</v>
      </c>
      <c r="N55" s="45" t="s">
        <v>435</v>
      </c>
      <c r="O55" s="186" t="s">
        <v>276</v>
      </c>
      <c r="P55" s="25"/>
      <c r="Q55" s="162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5">
        <v>1.0</v>
      </c>
      <c r="C56" s="45">
        <v>9.72041004985E11</v>
      </c>
      <c r="D56" s="45" t="s">
        <v>434</v>
      </c>
      <c r="E56" s="190">
        <v>46228.0</v>
      </c>
      <c r="F56" s="160" t="s">
        <v>436</v>
      </c>
      <c r="G56" s="45">
        <v>3000.0</v>
      </c>
      <c r="H56" s="45" t="s">
        <v>48</v>
      </c>
      <c r="I56" s="64" t="s">
        <v>375</v>
      </c>
      <c r="J56" s="64" t="s">
        <v>50</v>
      </c>
      <c r="K56" s="45" t="s">
        <v>39</v>
      </c>
      <c r="L56" s="190">
        <v>46228.0</v>
      </c>
      <c r="M56" s="141" t="s">
        <v>176</v>
      </c>
      <c r="N56" s="45" t="s">
        <v>437</v>
      </c>
      <c r="O56" s="186" t="s">
        <v>276</v>
      </c>
      <c r="P56" s="25"/>
      <c r="Q56" s="162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227"/>
      <c r="B57" s="160">
        <v>1.0</v>
      </c>
      <c r="C57" s="160">
        <v>9.72039004985E11</v>
      </c>
      <c r="D57" s="160" t="s">
        <v>434</v>
      </c>
      <c r="E57" s="195">
        <v>46227.0</v>
      </c>
      <c r="F57" s="160" t="s">
        <v>438</v>
      </c>
      <c r="G57" s="160">
        <v>3000.0</v>
      </c>
      <c r="H57" s="160" t="s">
        <v>48</v>
      </c>
      <c r="I57" s="186" t="s">
        <v>375</v>
      </c>
      <c r="J57" s="186" t="s">
        <v>50</v>
      </c>
      <c r="K57" s="160" t="s">
        <v>39</v>
      </c>
      <c r="L57" s="195">
        <v>46227.0</v>
      </c>
      <c r="M57" s="45" t="s">
        <v>128</v>
      </c>
      <c r="N57" s="45" t="s">
        <v>439</v>
      </c>
      <c r="O57" s="186" t="s">
        <v>276</v>
      </c>
      <c r="P57" s="25"/>
      <c r="Q57" s="162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227"/>
      <c r="B58" s="220">
        <v>1.0</v>
      </c>
      <c r="C58" s="220">
        <v>9.72038004985E11</v>
      </c>
      <c r="D58" s="220" t="s">
        <v>434</v>
      </c>
      <c r="E58" s="221">
        <v>46227.0</v>
      </c>
      <c r="F58" s="220" t="s">
        <v>438</v>
      </c>
      <c r="G58" s="220">
        <v>3000.0</v>
      </c>
      <c r="H58" s="220" t="s">
        <v>48</v>
      </c>
      <c r="I58" s="186" t="s">
        <v>375</v>
      </c>
      <c r="J58" s="186" t="s">
        <v>50</v>
      </c>
      <c r="K58" s="160" t="s">
        <v>39</v>
      </c>
      <c r="L58" s="195">
        <v>46227.0</v>
      </c>
      <c r="M58" s="45" t="s">
        <v>128</v>
      </c>
      <c r="N58" s="45" t="s">
        <v>440</v>
      </c>
      <c r="O58" s="186" t="s">
        <v>276</v>
      </c>
      <c r="P58" s="228" t="s">
        <v>441</v>
      </c>
      <c r="Q58" s="110" t="s">
        <v>442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5">
        <v>1.0</v>
      </c>
      <c r="C59" s="87" t="s">
        <v>443</v>
      </c>
      <c r="D59" s="88" t="s">
        <v>444</v>
      </c>
      <c r="E59" s="190">
        <v>46228.0</v>
      </c>
      <c r="F59" s="157">
        <v>46229.0</v>
      </c>
      <c r="G59" s="25">
        <f>792+552</f>
        <v>1344</v>
      </c>
      <c r="H59" s="45" t="s">
        <v>363</v>
      </c>
      <c r="I59" s="229" t="s">
        <v>375</v>
      </c>
      <c r="J59" s="45" t="s">
        <v>28</v>
      </c>
      <c r="K59" s="45" t="s">
        <v>39</v>
      </c>
      <c r="L59" s="190">
        <v>46229.0</v>
      </c>
      <c r="M59" s="45" t="s">
        <v>128</v>
      </c>
      <c r="N59" s="45" t="s">
        <v>445</v>
      </c>
      <c r="O59" s="186" t="s">
        <v>276</v>
      </c>
      <c r="P59" s="25"/>
      <c r="Q59" s="162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230">
        <v>1.0</v>
      </c>
      <c r="C60" s="231" t="s">
        <v>446</v>
      </c>
      <c r="D60" s="230" t="s">
        <v>447</v>
      </c>
      <c r="E60" s="232">
        <v>46224.0</v>
      </c>
      <c r="F60" s="233">
        <v>46225.0</v>
      </c>
      <c r="G60" s="230">
        <v>5828.0</v>
      </c>
      <c r="H60" s="234" t="s">
        <v>103</v>
      </c>
      <c r="I60" s="235" t="s">
        <v>375</v>
      </c>
      <c r="J60" s="234" t="s">
        <v>31</v>
      </c>
      <c r="K60" s="119" t="s">
        <v>39</v>
      </c>
      <c r="L60" s="236">
        <v>46224.0</v>
      </c>
      <c r="M60" s="141" t="s">
        <v>176</v>
      </c>
      <c r="N60" s="76" t="s">
        <v>448</v>
      </c>
      <c r="O60" s="237" t="s">
        <v>276</v>
      </c>
      <c r="P60" s="76" t="s">
        <v>449</v>
      </c>
      <c r="Q60" s="9"/>
      <c r="R60" s="210" t="s">
        <v>425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5">
        <v>1.0</v>
      </c>
      <c r="C61" s="45">
        <v>9.73819004985E11</v>
      </c>
      <c r="D61" s="45" t="s">
        <v>450</v>
      </c>
      <c r="E61" s="190">
        <v>46230.0</v>
      </c>
      <c r="F61" s="160" t="s">
        <v>451</v>
      </c>
      <c r="G61" s="45">
        <v>3425.0</v>
      </c>
      <c r="H61" s="45" t="s">
        <v>48</v>
      </c>
      <c r="I61" s="45" t="s">
        <v>375</v>
      </c>
      <c r="J61" s="64" t="s">
        <v>50</v>
      </c>
      <c r="K61" s="119" t="s">
        <v>39</v>
      </c>
      <c r="L61" s="190">
        <v>46230.0</v>
      </c>
      <c r="M61" s="141" t="s">
        <v>176</v>
      </c>
      <c r="N61" s="45" t="s">
        <v>452</v>
      </c>
      <c r="O61" s="186" t="s">
        <v>276</v>
      </c>
      <c r="P61" s="25"/>
      <c r="Q61" s="162"/>
      <c r="R61" s="76" t="s">
        <v>453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238">
        <v>1.0</v>
      </c>
      <c r="C62" s="238">
        <v>9.73822004985E11</v>
      </c>
      <c r="D62" s="238" t="s">
        <v>454</v>
      </c>
      <c r="E62" s="239">
        <v>46230.0</v>
      </c>
      <c r="F62" s="238" t="s">
        <v>451</v>
      </c>
      <c r="G62" s="238">
        <v>3126.0</v>
      </c>
      <c r="H62" s="238" t="s">
        <v>48</v>
      </c>
      <c r="I62" s="238" t="s">
        <v>375</v>
      </c>
      <c r="J62" s="206" t="s">
        <v>50</v>
      </c>
      <c r="K62" s="240" t="s">
        <v>39</v>
      </c>
      <c r="L62" s="239">
        <v>46230.0</v>
      </c>
      <c r="M62" s="241" t="s">
        <v>176</v>
      </c>
      <c r="N62" s="238" t="s">
        <v>455</v>
      </c>
      <c r="O62" s="186" t="s">
        <v>409</v>
      </c>
      <c r="P62" s="45" t="s">
        <v>456</v>
      </c>
      <c r="Q62" s="162"/>
      <c r="R62" s="76" t="s">
        <v>453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5">
        <v>1.0</v>
      </c>
      <c r="C63" s="45">
        <v>9.74214004985E11</v>
      </c>
      <c r="D63" s="45" t="s">
        <v>457</v>
      </c>
      <c r="E63" s="190">
        <v>46228.0</v>
      </c>
      <c r="F63" s="160" t="s">
        <v>458</v>
      </c>
      <c r="G63" s="45">
        <v>800.0</v>
      </c>
      <c r="H63" s="45" t="s">
        <v>48</v>
      </c>
      <c r="I63" s="45" t="s">
        <v>375</v>
      </c>
      <c r="J63" s="64" t="s">
        <v>50</v>
      </c>
      <c r="K63" s="119" t="s">
        <v>39</v>
      </c>
      <c r="L63" s="190">
        <v>46229.0</v>
      </c>
      <c r="M63" s="141" t="s">
        <v>176</v>
      </c>
      <c r="N63" s="45" t="s">
        <v>459</v>
      </c>
      <c r="O63" s="186" t="s">
        <v>276</v>
      </c>
      <c r="P63" s="25"/>
      <c r="Q63" s="162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5">
        <v>1.0</v>
      </c>
      <c r="C64" s="45">
        <v>9.74620004985E11</v>
      </c>
      <c r="D64" s="45" t="s">
        <v>460</v>
      </c>
      <c r="E64" s="224">
        <v>46234.0</v>
      </c>
      <c r="F64" s="220" t="s">
        <v>461</v>
      </c>
      <c r="G64" s="141">
        <v>3387.0</v>
      </c>
      <c r="H64" s="45" t="s">
        <v>48</v>
      </c>
      <c r="I64" s="45" t="s">
        <v>375</v>
      </c>
      <c r="J64" s="64" t="s">
        <v>50</v>
      </c>
      <c r="K64" s="119" t="s">
        <v>39</v>
      </c>
      <c r="L64" s="190">
        <v>46234.0</v>
      </c>
      <c r="M64" s="141" t="s">
        <v>176</v>
      </c>
      <c r="N64" s="45" t="s">
        <v>405</v>
      </c>
      <c r="O64" s="186" t="s">
        <v>276</v>
      </c>
      <c r="P64" s="25"/>
      <c r="Q64" s="162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5">
        <v>1.0</v>
      </c>
      <c r="C65" s="45" t="s">
        <v>462</v>
      </c>
      <c r="D65" s="105" t="s">
        <v>463</v>
      </c>
      <c r="E65" s="242">
        <v>46233.0</v>
      </c>
      <c r="F65" s="243" t="s">
        <v>464</v>
      </c>
      <c r="G65" s="244">
        <v>1002.0</v>
      </c>
      <c r="H65" s="245" t="s">
        <v>363</v>
      </c>
      <c r="I65" s="45" t="s">
        <v>375</v>
      </c>
      <c r="J65" s="64" t="s">
        <v>28</v>
      </c>
      <c r="K65" s="119" t="s">
        <v>39</v>
      </c>
      <c r="L65" s="190">
        <v>46233.0</v>
      </c>
      <c r="M65" s="141" t="s">
        <v>176</v>
      </c>
      <c r="N65" s="45" t="s">
        <v>254</v>
      </c>
      <c r="O65" s="246" t="s">
        <v>276</v>
      </c>
      <c r="P65" s="45" t="s">
        <v>465</v>
      </c>
      <c r="Q65" s="162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5">
        <v>1.0</v>
      </c>
      <c r="C66" s="45" t="s">
        <v>466</v>
      </c>
      <c r="D66" s="105" t="s">
        <v>467</v>
      </c>
      <c r="E66" s="247">
        <v>46234.0</v>
      </c>
      <c r="F66" s="247">
        <v>46235.0</v>
      </c>
      <c r="G66" s="244">
        <v>5695.0</v>
      </c>
      <c r="H66" s="245" t="s">
        <v>103</v>
      </c>
      <c r="I66" s="45" t="s">
        <v>375</v>
      </c>
      <c r="J66" s="64" t="s">
        <v>31</v>
      </c>
      <c r="K66" s="119" t="s">
        <v>39</v>
      </c>
      <c r="L66" s="190">
        <v>46234.0</v>
      </c>
      <c r="M66" s="141" t="s">
        <v>176</v>
      </c>
      <c r="N66" s="45" t="s">
        <v>468</v>
      </c>
      <c r="O66" s="246" t="s">
        <v>276</v>
      </c>
      <c r="P66" s="25"/>
      <c r="Q66" s="162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5">
        <v>1.0</v>
      </c>
      <c r="C67" s="45" t="s">
        <v>469</v>
      </c>
      <c r="D67" s="105" t="s">
        <v>470</v>
      </c>
      <c r="E67" s="242">
        <v>46237.0</v>
      </c>
      <c r="F67" s="248">
        <v>46238.0</v>
      </c>
      <c r="G67" s="244">
        <v>1002.0</v>
      </c>
      <c r="H67" s="245" t="s">
        <v>249</v>
      </c>
      <c r="I67" s="45" t="s">
        <v>375</v>
      </c>
      <c r="J67" s="64" t="s">
        <v>28</v>
      </c>
      <c r="K67" s="119" t="s">
        <v>39</v>
      </c>
      <c r="L67" s="249">
        <v>46237.0</v>
      </c>
      <c r="M67" s="141" t="s">
        <v>176</v>
      </c>
      <c r="N67" s="45" t="s">
        <v>471</v>
      </c>
      <c r="O67" s="186" t="s">
        <v>276</v>
      </c>
      <c r="P67" s="25"/>
      <c r="Q67" s="162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5">
        <v>1.0</v>
      </c>
      <c r="C68" s="25">
        <v>9.76276004985E11</v>
      </c>
      <c r="D68" s="25" t="s">
        <v>472</v>
      </c>
      <c r="E68" s="250">
        <v>46240.0</v>
      </c>
      <c r="F68" s="251" t="s">
        <v>473</v>
      </c>
      <c r="G68" s="252">
        <v>4160.0</v>
      </c>
      <c r="H68" s="253" t="s">
        <v>48</v>
      </c>
      <c r="I68" s="253" t="s">
        <v>375</v>
      </c>
      <c r="J68" s="253" t="s">
        <v>50</v>
      </c>
      <c r="K68" s="119" t="s">
        <v>39</v>
      </c>
      <c r="L68" s="249">
        <v>46240.0</v>
      </c>
      <c r="M68" s="141" t="s">
        <v>176</v>
      </c>
      <c r="N68" s="45" t="s">
        <v>474</v>
      </c>
      <c r="O68" s="186" t="s">
        <v>276</v>
      </c>
      <c r="P68" s="45" t="s">
        <v>475</v>
      </c>
      <c r="Q68" s="162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5">
        <v>1.0</v>
      </c>
      <c r="C69" s="25">
        <v>9.76863004985E11</v>
      </c>
      <c r="D69" s="25" t="s">
        <v>476</v>
      </c>
      <c r="E69" s="195">
        <v>46240.0</v>
      </c>
      <c r="F69" s="254" t="s">
        <v>477</v>
      </c>
      <c r="G69" s="253">
        <v>4136.0</v>
      </c>
      <c r="H69" s="253" t="s">
        <v>48</v>
      </c>
      <c r="I69" s="253" t="s">
        <v>375</v>
      </c>
      <c r="J69" s="253" t="s">
        <v>50</v>
      </c>
      <c r="K69" s="119" t="s">
        <v>39</v>
      </c>
      <c r="L69" s="249">
        <v>46241.0</v>
      </c>
      <c r="M69" s="141" t="s">
        <v>176</v>
      </c>
      <c r="N69" s="45" t="s">
        <v>478</v>
      </c>
      <c r="O69" s="186" t="s">
        <v>276</v>
      </c>
      <c r="P69" s="25"/>
      <c r="Q69" s="162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5">
        <v>1.0</v>
      </c>
      <c r="C70" s="25">
        <v>9.77081004985E11</v>
      </c>
      <c r="D70" s="25" t="s">
        <v>479</v>
      </c>
      <c r="E70" s="195">
        <v>46239.0</v>
      </c>
      <c r="F70" s="255" t="s">
        <v>480</v>
      </c>
      <c r="G70" s="253">
        <v>3126.0</v>
      </c>
      <c r="H70" s="253" t="s">
        <v>48</v>
      </c>
      <c r="I70" s="253" t="s">
        <v>375</v>
      </c>
      <c r="J70" s="253" t="s">
        <v>50</v>
      </c>
      <c r="K70" s="119" t="s">
        <v>39</v>
      </c>
      <c r="L70" s="249">
        <v>46239.0</v>
      </c>
      <c r="M70" s="141" t="s">
        <v>176</v>
      </c>
      <c r="N70" s="45" t="s">
        <v>481</v>
      </c>
      <c r="O70" s="186" t="s">
        <v>276</v>
      </c>
      <c r="P70" s="25"/>
      <c r="Q70" s="162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5">
        <v>1.0</v>
      </c>
      <c r="C71" s="253" t="s">
        <v>482</v>
      </c>
      <c r="D71" s="253" t="s">
        <v>467</v>
      </c>
      <c r="E71" s="256">
        <v>46238.0</v>
      </c>
      <c r="F71" s="157">
        <v>46239.0</v>
      </c>
      <c r="G71" s="253">
        <v>3956.0</v>
      </c>
      <c r="H71" s="45" t="s">
        <v>103</v>
      </c>
      <c r="I71" s="253" t="s">
        <v>375</v>
      </c>
      <c r="J71" s="64" t="s">
        <v>31</v>
      </c>
      <c r="K71" s="253" t="s">
        <v>39</v>
      </c>
      <c r="L71" s="249">
        <v>46238.0</v>
      </c>
      <c r="M71" s="141" t="s">
        <v>176</v>
      </c>
      <c r="N71" s="45" t="s">
        <v>483</v>
      </c>
      <c r="O71" s="186" t="s">
        <v>276</v>
      </c>
      <c r="P71" s="25"/>
      <c r="Q71" s="162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141">
        <v>1.0</v>
      </c>
      <c r="C72" s="225" t="s">
        <v>484</v>
      </c>
      <c r="D72" s="225" t="s">
        <v>485</v>
      </c>
      <c r="E72" s="224">
        <v>46235.0</v>
      </c>
      <c r="F72" s="222">
        <v>46236.0</v>
      </c>
      <c r="G72" s="225">
        <v>1002.0</v>
      </c>
      <c r="H72" s="141" t="s">
        <v>363</v>
      </c>
      <c r="I72" s="225" t="s">
        <v>375</v>
      </c>
      <c r="J72" s="119" t="s">
        <v>28</v>
      </c>
      <c r="K72" s="225" t="s">
        <v>39</v>
      </c>
      <c r="L72" s="190">
        <v>46235.0</v>
      </c>
      <c r="M72" s="141" t="s">
        <v>176</v>
      </c>
      <c r="N72" s="45" t="s">
        <v>486</v>
      </c>
      <c r="O72" s="186" t="s">
        <v>276</v>
      </c>
      <c r="P72" s="25"/>
      <c r="Q72" s="162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5">
        <v>1.0</v>
      </c>
      <c r="C73" s="45">
        <v>9.78256004985E11</v>
      </c>
      <c r="D73" s="45" t="s">
        <v>487</v>
      </c>
      <c r="E73" s="190">
        <v>46245.0</v>
      </c>
      <c r="F73" s="45" t="s">
        <v>488</v>
      </c>
      <c r="G73" s="45">
        <v>3282.0</v>
      </c>
      <c r="H73" s="45" t="s">
        <v>48</v>
      </c>
      <c r="I73" s="45" t="s">
        <v>375</v>
      </c>
      <c r="J73" s="45" t="s">
        <v>50</v>
      </c>
      <c r="K73" s="45" t="s">
        <v>39</v>
      </c>
      <c r="L73" s="190">
        <v>46245.0</v>
      </c>
      <c r="M73" s="141" t="s">
        <v>176</v>
      </c>
      <c r="N73" s="45" t="s">
        <v>489</v>
      </c>
      <c r="O73" s="186" t="s">
        <v>276</v>
      </c>
      <c r="P73" s="25"/>
      <c r="Q73" s="16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141">
        <v>1.0</v>
      </c>
      <c r="C74" s="137" t="s">
        <v>490</v>
      </c>
      <c r="D74" s="141" t="s">
        <v>491</v>
      </c>
      <c r="E74" s="224">
        <v>46245.0</v>
      </c>
      <c r="F74" s="257">
        <v>46246.0</v>
      </c>
      <c r="G74" s="141">
        <v>1002.0</v>
      </c>
      <c r="H74" s="141" t="s">
        <v>363</v>
      </c>
      <c r="I74" s="141" t="s">
        <v>375</v>
      </c>
      <c r="J74" s="141" t="s">
        <v>28</v>
      </c>
      <c r="K74" s="123" t="s">
        <v>39</v>
      </c>
      <c r="L74" s="224">
        <v>46245.0</v>
      </c>
      <c r="M74" s="141" t="s">
        <v>176</v>
      </c>
      <c r="N74" s="141" t="s">
        <v>365</v>
      </c>
      <c r="O74" s="186" t="s">
        <v>276</v>
      </c>
      <c r="P74" s="225"/>
      <c r="Q74" s="22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5">
        <v>1.0</v>
      </c>
      <c r="C75" s="45">
        <v>9.81450004985E11</v>
      </c>
      <c r="D75" s="45" t="s">
        <v>492</v>
      </c>
      <c r="E75" s="221">
        <v>46252.0</v>
      </c>
      <c r="F75" s="45" t="s">
        <v>493</v>
      </c>
      <c r="G75" s="45">
        <v>4380.0</v>
      </c>
      <c r="H75" s="45" t="s">
        <v>393</v>
      </c>
      <c r="I75" s="45" t="s">
        <v>375</v>
      </c>
      <c r="J75" s="45" t="s">
        <v>50</v>
      </c>
      <c r="K75" s="45" t="s">
        <v>39</v>
      </c>
      <c r="L75" s="190">
        <v>46252.0</v>
      </c>
      <c r="M75" s="141" t="s">
        <v>176</v>
      </c>
      <c r="N75" s="141" t="s">
        <v>494</v>
      </c>
      <c r="O75" s="186" t="s">
        <v>276</v>
      </c>
      <c r="P75" s="25"/>
      <c r="Q75" s="16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155">
        <v>1.0</v>
      </c>
      <c r="C76" s="155">
        <v>9.81465004985E11</v>
      </c>
      <c r="D76" s="258" t="s">
        <v>495</v>
      </c>
      <c r="E76" s="259">
        <v>46253.0</v>
      </c>
      <c r="F76" s="260" t="s">
        <v>496</v>
      </c>
      <c r="G76" s="155">
        <v>2800.0</v>
      </c>
      <c r="H76" s="155" t="s">
        <v>393</v>
      </c>
      <c r="I76" s="155" t="s">
        <v>375</v>
      </c>
      <c r="J76" s="155" t="s">
        <v>50</v>
      </c>
      <c r="K76" s="155" t="s">
        <v>39</v>
      </c>
      <c r="L76" s="261" t="s">
        <v>497</v>
      </c>
      <c r="M76" s="262"/>
      <c r="N76" s="263"/>
      <c r="O76" s="39"/>
      <c r="P76" s="25"/>
      <c r="Q76" s="162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141">
        <v>1.0</v>
      </c>
      <c r="C77" s="119" t="s">
        <v>498</v>
      </c>
      <c r="D77" s="264" t="s">
        <v>499</v>
      </c>
      <c r="E77" s="190">
        <v>46247.0</v>
      </c>
      <c r="F77" s="81">
        <v>46248.0</v>
      </c>
      <c r="G77" s="45">
        <v>1974.0</v>
      </c>
      <c r="H77" s="45" t="s">
        <v>363</v>
      </c>
      <c r="I77" s="45" t="s">
        <v>375</v>
      </c>
      <c r="J77" s="45" t="s">
        <v>28</v>
      </c>
      <c r="K77" s="45" t="s">
        <v>39</v>
      </c>
      <c r="L77" s="265">
        <v>46247.0</v>
      </c>
      <c r="M77" s="266" t="s">
        <v>176</v>
      </c>
      <c r="N77" s="266" t="s">
        <v>500</v>
      </c>
      <c r="O77" s="237" t="s">
        <v>276</v>
      </c>
      <c r="P77" s="225"/>
      <c r="Q77" s="22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27"/>
      <c r="C78" s="27"/>
      <c r="D78" s="85" t="s">
        <v>501</v>
      </c>
      <c r="E78" s="190">
        <v>46247.0</v>
      </c>
      <c r="F78" s="81">
        <v>46248.0</v>
      </c>
      <c r="G78" s="45">
        <v>2640.0</v>
      </c>
      <c r="H78" s="45" t="s">
        <v>363</v>
      </c>
      <c r="I78" s="45" t="s">
        <v>375</v>
      </c>
      <c r="J78" s="45" t="s">
        <v>28</v>
      </c>
      <c r="K78" s="45" t="s">
        <v>39</v>
      </c>
      <c r="L78" s="27"/>
      <c r="M78" s="27"/>
      <c r="N78" s="27"/>
      <c r="O78" s="27"/>
      <c r="P78" s="27"/>
      <c r="Q78" s="2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5">
        <v>1.0</v>
      </c>
      <c r="C79" s="45" t="s">
        <v>502</v>
      </c>
      <c r="D79" s="45" t="s">
        <v>503</v>
      </c>
      <c r="E79" s="190">
        <v>46256.0</v>
      </c>
      <c r="F79" s="43">
        <v>46257.0</v>
      </c>
      <c r="G79" s="45">
        <v>1002.0</v>
      </c>
      <c r="H79" s="82" t="s">
        <v>249</v>
      </c>
      <c r="I79" s="45" t="s">
        <v>375</v>
      </c>
      <c r="J79" s="45" t="s">
        <v>28</v>
      </c>
      <c r="K79" s="245" t="s">
        <v>39</v>
      </c>
      <c r="L79" s="190">
        <v>46256.0</v>
      </c>
      <c r="M79" s="141" t="s">
        <v>176</v>
      </c>
      <c r="N79" s="45" t="s">
        <v>504</v>
      </c>
      <c r="O79" s="186" t="s">
        <v>276</v>
      </c>
      <c r="P79" s="25"/>
      <c r="Q79" s="16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5">
        <v>1.0</v>
      </c>
      <c r="C80" s="45">
        <v>9.84376004985E11</v>
      </c>
      <c r="D80" s="45" t="s">
        <v>505</v>
      </c>
      <c r="E80" s="203">
        <v>46261.0</v>
      </c>
      <c r="F80" s="45" t="s">
        <v>506</v>
      </c>
      <c r="G80" s="45">
        <v>2587.0</v>
      </c>
      <c r="H80" s="45" t="s">
        <v>48</v>
      </c>
      <c r="I80" s="45" t="s">
        <v>375</v>
      </c>
      <c r="J80" s="45" t="s">
        <v>50</v>
      </c>
      <c r="K80" s="45" t="s">
        <v>39</v>
      </c>
      <c r="L80" s="190">
        <v>46261.0</v>
      </c>
      <c r="M80" s="141" t="s">
        <v>176</v>
      </c>
      <c r="N80" s="45" t="s">
        <v>507</v>
      </c>
      <c r="O80" s="186" t="s">
        <v>276</v>
      </c>
      <c r="P80" s="25"/>
      <c r="Q80" s="162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5">
        <v>1.0</v>
      </c>
      <c r="C81" s="45">
        <v>9.84389004985E11</v>
      </c>
      <c r="D81" s="45" t="s">
        <v>508</v>
      </c>
      <c r="E81" s="203">
        <v>46263.0</v>
      </c>
      <c r="F81" s="45" t="s">
        <v>255</v>
      </c>
      <c r="G81" s="45">
        <v>2500.0</v>
      </c>
      <c r="H81" s="45" t="s">
        <v>48</v>
      </c>
      <c r="I81" s="45" t="s">
        <v>375</v>
      </c>
      <c r="J81" s="45" t="s">
        <v>50</v>
      </c>
      <c r="K81" s="45" t="s">
        <v>39</v>
      </c>
      <c r="L81" s="190">
        <v>46263.0</v>
      </c>
      <c r="M81" s="141" t="s">
        <v>176</v>
      </c>
      <c r="N81" s="45" t="s">
        <v>509</v>
      </c>
      <c r="O81" s="186" t="s">
        <v>276</v>
      </c>
      <c r="P81" s="25"/>
      <c r="Q81" s="16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5">
        <v>1.0</v>
      </c>
      <c r="C82" s="45">
        <v>9.84400004985E11</v>
      </c>
      <c r="D82" s="45" t="s">
        <v>508</v>
      </c>
      <c r="E82" s="267">
        <v>46263.0</v>
      </c>
      <c r="F82" s="45" t="s">
        <v>255</v>
      </c>
      <c r="G82" s="45">
        <v>2031.0</v>
      </c>
      <c r="H82" s="45" t="s">
        <v>48</v>
      </c>
      <c r="I82" s="45" t="s">
        <v>375</v>
      </c>
      <c r="J82" s="45" t="s">
        <v>50</v>
      </c>
      <c r="K82" s="45" t="s">
        <v>39</v>
      </c>
      <c r="L82" s="190">
        <v>46263.0</v>
      </c>
      <c r="M82" s="141" t="s">
        <v>176</v>
      </c>
      <c r="N82" s="45" t="s">
        <v>510</v>
      </c>
      <c r="O82" s="186" t="s">
        <v>276</v>
      </c>
      <c r="P82" s="25"/>
      <c r="Q82" s="162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141">
        <v>1.0</v>
      </c>
      <c r="C83" s="137" t="s">
        <v>511</v>
      </c>
      <c r="D83" s="118" t="s">
        <v>512</v>
      </c>
      <c r="E83" s="268">
        <v>46254.0</v>
      </c>
      <c r="F83" s="141" t="s">
        <v>513</v>
      </c>
      <c r="G83" s="141">
        <v>5799.0</v>
      </c>
      <c r="H83" s="118" t="s">
        <v>114</v>
      </c>
      <c r="I83" s="237" t="s">
        <v>418</v>
      </c>
      <c r="J83" s="141" t="s">
        <v>31</v>
      </c>
      <c r="K83" s="141" t="s">
        <v>39</v>
      </c>
      <c r="L83" s="224">
        <v>46254.0</v>
      </c>
      <c r="M83" s="141" t="s">
        <v>176</v>
      </c>
      <c r="N83" s="141" t="s">
        <v>514</v>
      </c>
      <c r="O83" s="186" t="s">
        <v>276</v>
      </c>
      <c r="P83" s="25"/>
      <c r="Q83" s="162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5">
        <v>1.0</v>
      </c>
      <c r="C84" s="85" t="s">
        <v>515</v>
      </c>
      <c r="D84" s="85" t="s">
        <v>516</v>
      </c>
      <c r="E84" s="267">
        <v>46264.0</v>
      </c>
      <c r="F84" s="269" t="s">
        <v>517</v>
      </c>
      <c r="G84" s="45">
        <v>1002.0</v>
      </c>
      <c r="H84" s="270" t="s">
        <v>249</v>
      </c>
      <c r="I84" s="45" t="s">
        <v>375</v>
      </c>
      <c r="J84" s="45" t="s">
        <v>28</v>
      </c>
      <c r="K84" s="45" t="s">
        <v>39</v>
      </c>
      <c r="L84" s="190">
        <v>46264.0</v>
      </c>
      <c r="M84" s="141" t="s">
        <v>176</v>
      </c>
      <c r="N84" s="45" t="s">
        <v>471</v>
      </c>
      <c r="O84" s="186" t="s">
        <v>276</v>
      </c>
      <c r="P84" s="45" t="s">
        <v>518</v>
      </c>
      <c r="Q84" s="162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141">
        <v>1.0</v>
      </c>
      <c r="C85" s="137" t="s">
        <v>519</v>
      </c>
      <c r="D85" s="141" t="s">
        <v>520</v>
      </c>
      <c r="E85" s="268">
        <v>46256.0</v>
      </c>
      <c r="F85" s="141" t="s">
        <v>521</v>
      </c>
      <c r="G85" s="141">
        <v>1038.0</v>
      </c>
      <c r="H85" s="271" t="s">
        <v>363</v>
      </c>
      <c r="I85" s="141" t="s">
        <v>375</v>
      </c>
      <c r="J85" s="141" t="s">
        <v>28</v>
      </c>
      <c r="K85" s="141" t="s">
        <v>39</v>
      </c>
      <c r="L85" s="224">
        <v>46256.0</v>
      </c>
      <c r="M85" s="141" t="s">
        <v>176</v>
      </c>
      <c r="N85" s="141" t="s">
        <v>522</v>
      </c>
      <c r="O85" s="186" t="s">
        <v>276</v>
      </c>
      <c r="P85" s="225"/>
      <c r="Q85" s="22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5">
        <v>1.0</v>
      </c>
      <c r="C86" s="98" t="s">
        <v>523</v>
      </c>
      <c r="D86" s="264" t="s">
        <v>524</v>
      </c>
      <c r="E86" s="267">
        <v>46263.0</v>
      </c>
      <c r="F86" s="45" t="s">
        <v>525</v>
      </c>
      <c r="G86" s="45">
        <v>1584.0</v>
      </c>
      <c r="H86" s="270" t="s">
        <v>526</v>
      </c>
      <c r="I86" s="186" t="s">
        <v>418</v>
      </c>
      <c r="J86" s="45" t="s">
        <v>28</v>
      </c>
      <c r="K86" s="45" t="s">
        <v>39</v>
      </c>
      <c r="L86" s="190">
        <v>46263.0</v>
      </c>
      <c r="M86" s="141" t="s">
        <v>176</v>
      </c>
      <c r="N86" s="45" t="s">
        <v>527</v>
      </c>
      <c r="O86" s="186" t="s">
        <v>276</v>
      </c>
      <c r="P86" s="25"/>
      <c r="Q86" s="162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5">
        <v>1.0</v>
      </c>
      <c r="C87" s="85" t="s">
        <v>528</v>
      </c>
      <c r="D87" s="85" t="s">
        <v>529</v>
      </c>
      <c r="E87" s="267">
        <v>46260.0</v>
      </c>
      <c r="F87" s="272">
        <v>46261.708333333336</v>
      </c>
      <c r="G87" s="34">
        <v>6218.0</v>
      </c>
      <c r="H87" s="85" t="s">
        <v>104</v>
      </c>
      <c r="I87" s="45" t="s">
        <v>375</v>
      </c>
      <c r="J87" s="45" t="s">
        <v>31</v>
      </c>
      <c r="K87" s="45" t="s">
        <v>39</v>
      </c>
      <c r="L87" s="224">
        <v>46260.0</v>
      </c>
      <c r="M87" s="141" t="s">
        <v>176</v>
      </c>
      <c r="N87" s="141" t="s">
        <v>530</v>
      </c>
      <c r="O87" s="186" t="s">
        <v>276</v>
      </c>
      <c r="P87" s="25"/>
      <c r="Q87" s="162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5">
        <v>1.0</v>
      </c>
      <c r="C88" s="45">
        <v>9.86262004985E11</v>
      </c>
      <c r="D88" s="45" t="s">
        <v>531</v>
      </c>
      <c r="E88" s="267">
        <v>46267.0</v>
      </c>
      <c r="F88" s="238" t="s">
        <v>532</v>
      </c>
      <c r="G88" s="45">
        <v>6594.0</v>
      </c>
      <c r="H88" s="45" t="s">
        <v>48</v>
      </c>
      <c r="I88" s="45" t="s">
        <v>375</v>
      </c>
      <c r="J88" s="45" t="s">
        <v>50</v>
      </c>
      <c r="K88" s="105" t="s">
        <v>39</v>
      </c>
      <c r="L88" s="190">
        <v>46267.0</v>
      </c>
      <c r="M88" s="141" t="s">
        <v>176</v>
      </c>
      <c r="N88" s="45" t="s">
        <v>533</v>
      </c>
      <c r="O88" s="273" t="s">
        <v>276</v>
      </c>
      <c r="P88" s="25"/>
      <c r="Q88" s="162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141">
        <v>1.0</v>
      </c>
      <c r="C89" s="141">
        <v>9.86264004985E11</v>
      </c>
      <c r="D89" s="274" t="s">
        <v>534</v>
      </c>
      <c r="E89" s="268">
        <v>46270.0</v>
      </c>
      <c r="F89" s="238" t="s">
        <v>535</v>
      </c>
      <c r="G89" s="274">
        <v>5887.0</v>
      </c>
      <c r="H89" s="141" t="s">
        <v>48</v>
      </c>
      <c r="I89" s="141" t="s">
        <v>375</v>
      </c>
      <c r="J89" s="141" t="s">
        <v>50</v>
      </c>
      <c r="K89" s="123" t="s">
        <v>39</v>
      </c>
      <c r="L89" s="190">
        <v>46270.0</v>
      </c>
      <c r="M89" s="141" t="s">
        <v>176</v>
      </c>
      <c r="N89" s="45" t="s">
        <v>536</v>
      </c>
      <c r="O89" s="273" t="s">
        <v>276</v>
      </c>
      <c r="P89" s="25"/>
      <c r="Q89" s="162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155">
        <v>1.0</v>
      </c>
      <c r="C90" s="145" t="s">
        <v>537</v>
      </c>
      <c r="D90" s="155" t="s">
        <v>538</v>
      </c>
      <c r="E90" s="275">
        <v>46258.0</v>
      </c>
      <c r="F90" s="276" t="s">
        <v>539</v>
      </c>
      <c r="G90" s="155">
        <v>6657.0</v>
      </c>
      <c r="H90" s="277" t="s">
        <v>540</v>
      </c>
      <c r="I90" s="155" t="s">
        <v>53</v>
      </c>
      <c r="J90" s="155" t="s">
        <v>31</v>
      </c>
      <c r="K90" s="155" t="s">
        <v>39</v>
      </c>
      <c r="L90" s="278">
        <v>46258.0</v>
      </c>
      <c r="M90" s="230" t="s">
        <v>176</v>
      </c>
      <c r="N90" s="230" t="s">
        <v>541</v>
      </c>
      <c r="O90" s="273" t="s">
        <v>409</v>
      </c>
      <c r="P90" s="155" t="s">
        <v>542</v>
      </c>
      <c r="Q90" s="162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155">
        <v>1.0</v>
      </c>
      <c r="C91" s="145" t="s">
        <v>543</v>
      </c>
      <c r="D91" s="155" t="s">
        <v>544</v>
      </c>
      <c r="E91" s="275">
        <v>46260.0</v>
      </c>
      <c r="F91" s="279" t="s">
        <v>545</v>
      </c>
      <c r="G91" s="155">
        <v>7925.0</v>
      </c>
      <c r="H91" s="277" t="s">
        <v>540</v>
      </c>
      <c r="I91" s="155" t="s">
        <v>53</v>
      </c>
      <c r="J91" s="155" t="s">
        <v>31</v>
      </c>
      <c r="K91" s="258" t="s">
        <v>39</v>
      </c>
      <c r="L91" s="280">
        <v>46261.0</v>
      </c>
      <c r="M91" s="230" t="s">
        <v>176</v>
      </c>
      <c r="N91" s="155" t="s">
        <v>546</v>
      </c>
      <c r="O91" s="273" t="s">
        <v>409</v>
      </c>
      <c r="P91" s="155" t="s">
        <v>542</v>
      </c>
      <c r="Q91" s="16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230">
        <v>1.0</v>
      </c>
      <c r="C92" s="281" t="s">
        <v>547</v>
      </c>
      <c r="D92" s="230" t="s">
        <v>544</v>
      </c>
      <c r="E92" s="282">
        <v>46261.0</v>
      </c>
      <c r="F92" s="283" t="s">
        <v>548</v>
      </c>
      <c r="G92" s="230">
        <v>4052.0</v>
      </c>
      <c r="H92" s="284" t="s">
        <v>540</v>
      </c>
      <c r="I92" s="230" t="s">
        <v>53</v>
      </c>
      <c r="J92" s="230" t="s">
        <v>31</v>
      </c>
      <c r="K92" s="285" t="s">
        <v>39</v>
      </c>
      <c r="L92" s="232">
        <v>46262.0</v>
      </c>
      <c r="M92" s="230" t="s">
        <v>176</v>
      </c>
      <c r="N92" s="230" t="s">
        <v>549</v>
      </c>
      <c r="O92" s="273" t="s">
        <v>409</v>
      </c>
      <c r="P92" s="155" t="s">
        <v>542</v>
      </c>
      <c r="Q92" s="162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155">
        <v>1.0</v>
      </c>
      <c r="C93" s="155">
        <v>9.89431004985E11</v>
      </c>
      <c r="D93" s="155" t="s">
        <v>550</v>
      </c>
      <c r="E93" s="282">
        <v>46277.0</v>
      </c>
      <c r="F93" s="155" t="s">
        <v>551</v>
      </c>
      <c r="G93" s="155">
        <v>1800.0</v>
      </c>
      <c r="H93" s="155" t="s">
        <v>48</v>
      </c>
      <c r="I93" s="155" t="s">
        <v>37</v>
      </c>
      <c r="J93" s="155" t="s">
        <v>50</v>
      </c>
      <c r="K93" s="155" t="s">
        <v>39</v>
      </c>
      <c r="L93" s="286">
        <v>46277.0</v>
      </c>
      <c r="M93" s="230" t="s">
        <v>176</v>
      </c>
      <c r="N93" s="155" t="s">
        <v>552</v>
      </c>
      <c r="O93" s="273" t="s">
        <v>409</v>
      </c>
      <c r="P93" s="155" t="s">
        <v>553</v>
      </c>
      <c r="Q93" s="162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5">
        <v>1.0</v>
      </c>
      <c r="C94" s="45">
        <v>9.89441004985E11</v>
      </c>
      <c r="D94" s="105" t="s">
        <v>554</v>
      </c>
      <c r="E94" s="267">
        <v>46277.0</v>
      </c>
      <c r="F94" s="287" t="s">
        <v>551</v>
      </c>
      <c r="G94" s="141">
        <v>2777.0</v>
      </c>
      <c r="H94" s="141" t="s">
        <v>48</v>
      </c>
      <c r="I94" s="45" t="s">
        <v>37</v>
      </c>
      <c r="J94" s="45" t="s">
        <v>50</v>
      </c>
      <c r="K94" s="45" t="s">
        <v>39</v>
      </c>
      <c r="L94" s="249">
        <v>46277.0</v>
      </c>
      <c r="M94" s="141" t="s">
        <v>176</v>
      </c>
      <c r="N94" s="45" t="s">
        <v>555</v>
      </c>
      <c r="O94" s="273" t="s">
        <v>276</v>
      </c>
      <c r="P94" s="45" t="s">
        <v>556</v>
      </c>
      <c r="Q94" s="162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5">
        <v>1.0</v>
      </c>
      <c r="C95" s="288" t="s">
        <v>557</v>
      </c>
      <c r="D95" s="165" t="s">
        <v>558</v>
      </c>
      <c r="E95" s="289">
        <v>46270.0</v>
      </c>
      <c r="F95" s="43">
        <v>45907.0</v>
      </c>
      <c r="G95" s="45">
        <v>1398.0</v>
      </c>
      <c r="H95" s="85" t="s">
        <v>559</v>
      </c>
      <c r="I95" s="290" t="s">
        <v>418</v>
      </c>
      <c r="J95" s="45" t="s">
        <v>28</v>
      </c>
      <c r="K95" s="141" t="s">
        <v>39</v>
      </c>
      <c r="L95" s="224">
        <v>46270.0</v>
      </c>
      <c r="M95" s="141" t="s">
        <v>176</v>
      </c>
      <c r="N95" s="141" t="s">
        <v>527</v>
      </c>
      <c r="O95" s="290" t="s">
        <v>276</v>
      </c>
      <c r="P95" s="225"/>
      <c r="Q95" s="22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5">
        <v>1.0</v>
      </c>
      <c r="C96" s="228">
        <v>9.92956004985E11</v>
      </c>
      <c r="D96" s="45" t="s">
        <v>560</v>
      </c>
      <c r="E96" s="267">
        <v>46284.0</v>
      </c>
      <c r="F96" s="199" t="s">
        <v>561</v>
      </c>
      <c r="G96" s="199">
        <v>2538.0</v>
      </c>
      <c r="H96" s="199" t="s">
        <v>48</v>
      </c>
      <c r="I96" s="45" t="s">
        <v>37</v>
      </c>
      <c r="J96" s="45" t="s">
        <v>50</v>
      </c>
      <c r="K96" s="45" t="s">
        <v>39</v>
      </c>
      <c r="L96" s="25"/>
      <c r="M96" s="25"/>
      <c r="N96" s="25"/>
      <c r="O96" s="39"/>
      <c r="P96" s="25"/>
      <c r="Q96" s="162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5">
        <v>1.0</v>
      </c>
      <c r="C97" s="45">
        <v>9.92987004985E11</v>
      </c>
      <c r="D97" s="45" t="s">
        <v>560</v>
      </c>
      <c r="E97" s="267">
        <v>46284.0</v>
      </c>
      <c r="F97" s="45" t="s">
        <v>561</v>
      </c>
      <c r="G97" s="45">
        <v>3300.0</v>
      </c>
      <c r="H97" s="45" t="s">
        <v>48</v>
      </c>
      <c r="I97" s="45" t="s">
        <v>37</v>
      </c>
      <c r="J97" s="45" t="s">
        <v>50</v>
      </c>
      <c r="K97" s="45" t="s">
        <v>39</v>
      </c>
      <c r="L97" s="224">
        <v>46284.0</v>
      </c>
      <c r="M97" s="141" t="s">
        <v>176</v>
      </c>
      <c r="N97" s="45" t="s">
        <v>562</v>
      </c>
      <c r="O97" s="186" t="s">
        <v>276</v>
      </c>
      <c r="P97" s="25"/>
      <c r="Q97" s="162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141">
        <v>1.0</v>
      </c>
      <c r="C98" s="291">
        <v>9.92992004985E11</v>
      </c>
      <c r="D98" s="141" t="s">
        <v>560</v>
      </c>
      <c r="E98" s="268">
        <v>46284.0</v>
      </c>
      <c r="F98" s="141" t="s">
        <v>561</v>
      </c>
      <c r="G98" s="141">
        <v>3300.0</v>
      </c>
      <c r="H98" s="141" t="s">
        <v>48</v>
      </c>
      <c r="I98" s="141" t="s">
        <v>37</v>
      </c>
      <c r="J98" s="141" t="s">
        <v>50</v>
      </c>
      <c r="K98" s="141" t="s">
        <v>39</v>
      </c>
      <c r="L98" s="224">
        <v>46284.0</v>
      </c>
      <c r="M98" s="141" t="s">
        <v>176</v>
      </c>
      <c r="N98" s="141" t="s">
        <v>563</v>
      </c>
      <c r="O98" s="39"/>
      <c r="P98" s="230" t="s">
        <v>564</v>
      </c>
      <c r="Q98" s="22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5">
        <v>1.0</v>
      </c>
      <c r="C99" s="228">
        <v>9.93339004985E11</v>
      </c>
      <c r="D99" s="45" t="s">
        <v>560</v>
      </c>
      <c r="E99" s="268">
        <v>46285.0</v>
      </c>
      <c r="F99" s="160" t="s">
        <v>565</v>
      </c>
      <c r="G99" s="45">
        <v>3300.0</v>
      </c>
      <c r="H99" s="45" t="s">
        <v>48</v>
      </c>
      <c r="I99" s="45" t="s">
        <v>37</v>
      </c>
      <c r="J99" s="45" t="s">
        <v>50</v>
      </c>
      <c r="K99" s="45" t="s">
        <v>39</v>
      </c>
      <c r="L99" s="25"/>
      <c r="M99" s="25"/>
      <c r="N99" s="25"/>
      <c r="O99" s="39"/>
      <c r="P99" s="25"/>
      <c r="Q99" s="162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5">
        <v>1.0</v>
      </c>
      <c r="C100" s="228">
        <v>9.93345004985E11</v>
      </c>
      <c r="D100" s="45" t="s">
        <v>560</v>
      </c>
      <c r="E100" s="268">
        <v>46285.0</v>
      </c>
      <c r="F100" s="160" t="s">
        <v>566</v>
      </c>
      <c r="G100" s="45">
        <v>3300.0</v>
      </c>
      <c r="H100" s="45" t="s">
        <v>48</v>
      </c>
      <c r="I100" s="45" t="s">
        <v>37</v>
      </c>
      <c r="J100" s="45" t="s">
        <v>50</v>
      </c>
      <c r="K100" s="45" t="s">
        <v>39</v>
      </c>
      <c r="L100" s="25"/>
      <c r="M100" s="25"/>
      <c r="N100" s="25"/>
      <c r="O100" s="39"/>
      <c r="P100" s="25"/>
      <c r="Q100" s="162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141">
        <v>1.0</v>
      </c>
      <c r="C101" s="291">
        <v>9.93351004985E11</v>
      </c>
      <c r="D101" s="141" t="s">
        <v>560</v>
      </c>
      <c r="E101" s="268">
        <v>46285.0</v>
      </c>
      <c r="F101" s="220" t="s">
        <v>566</v>
      </c>
      <c r="G101" s="141">
        <v>3300.0</v>
      </c>
      <c r="H101" s="141" t="s">
        <v>48</v>
      </c>
      <c r="I101" s="141" t="s">
        <v>37</v>
      </c>
      <c r="J101" s="141" t="s">
        <v>50</v>
      </c>
      <c r="K101" s="141" t="s">
        <v>39</v>
      </c>
      <c r="L101" s="225"/>
      <c r="M101" s="25"/>
      <c r="N101" s="25"/>
      <c r="O101" s="39"/>
      <c r="P101" s="25"/>
      <c r="Q101" s="16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141">
        <v>1.0</v>
      </c>
      <c r="C102" s="291">
        <v>9.93358004985E11</v>
      </c>
      <c r="D102" s="141" t="s">
        <v>560</v>
      </c>
      <c r="E102" s="268">
        <v>46285.0</v>
      </c>
      <c r="F102" s="220" t="s">
        <v>567</v>
      </c>
      <c r="G102" s="141">
        <v>1881.0</v>
      </c>
      <c r="H102" s="141" t="s">
        <v>48</v>
      </c>
      <c r="I102" s="141" t="s">
        <v>37</v>
      </c>
      <c r="J102" s="141" t="s">
        <v>50</v>
      </c>
      <c r="K102" s="141" t="s">
        <v>39</v>
      </c>
      <c r="L102" s="225"/>
      <c r="M102" s="292"/>
      <c r="N102" s="225"/>
      <c r="O102" s="39"/>
      <c r="P102" s="225"/>
      <c r="Q102" s="162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141">
        <v>1.0</v>
      </c>
      <c r="C103" s="293" t="s">
        <v>568</v>
      </c>
      <c r="D103" s="118" t="s">
        <v>569</v>
      </c>
      <c r="E103" s="268">
        <v>46273.0</v>
      </c>
      <c r="F103" s="222">
        <v>46274.0</v>
      </c>
      <c r="G103" s="140">
        <v>1764.0</v>
      </c>
      <c r="H103" s="118" t="s">
        <v>34</v>
      </c>
      <c r="I103" s="141" t="s">
        <v>37</v>
      </c>
      <c r="J103" s="141" t="s">
        <v>28</v>
      </c>
      <c r="K103" s="123" t="s">
        <v>39</v>
      </c>
      <c r="L103" s="190">
        <v>46273.0</v>
      </c>
      <c r="M103" s="141" t="s">
        <v>176</v>
      </c>
      <c r="N103" s="45" t="s">
        <v>570</v>
      </c>
      <c r="O103" s="186" t="s">
        <v>276</v>
      </c>
      <c r="P103" s="25"/>
      <c r="Q103" s="162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230">
        <v>1.0</v>
      </c>
      <c r="C104" s="294" t="s">
        <v>571</v>
      </c>
      <c r="D104" s="230" t="s">
        <v>572</v>
      </c>
      <c r="E104" s="282">
        <v>46269.0</v>
      </c>
      <c r="F104" s="295" t="s">
        <v>573</v>
      </c>
      <c r="G104" s="230">
        <v>6126.0</v>
      </c>
      <c r="H104" s="296" t="s">
        <v>114</v>
      </c>
      <c r="I104" s="230" t="s">
        <v>418</v>
      </c>
      <c r="J104" s="230" t="s">
        <v>31</v>
      </c>
      <c r="K104" s="230" t="s">
        <v>39</v>
      </c>
      <c r="L104" s="278">
        <v>46269.0</v>
      </c>
      <c r="M104" s="230" t="s">
        <v>176</v>
      </c>
      <c r="N104" s="230" t="s">
        <v>574</v>
      </c>
      <c r="O104" s="186" t="s">
        <v>409</v>
      </c>
      <c r="P104" s="155" t="s">
        <v>575</v>
      </c>
      <c r="Q104" s="162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5">
        <v>1.0</v>
      </c>
      <c r="C105" s="82" t="s">
        <v>576</v>
      </c>
      <c r="D105" s="45" t="s">
        <v>577</v>
      </c>
      <c r="E105" s="267">
        <v>46273.0</v>
      </c>
      <c r="F105" s="297" t="s">
        <v>578</v>
      </c>
      <c r="G105" s="45">
        <v>4188.0</v>
      </c>
      <c r="H105" s="85" t="s">
        <v>129</v>
      </c>
      <c r="I105" s="45" t="s">
        <v>37</v>
      </c>
      <c r="J105" s="45" t="s">
        <v>28</v>
      </c>
      <c r="K105" s="45" t="s">
        <v>39</v>
      </c>
      <c r="L105" s="190">
        <v>46273.0</v>
      </c>
      <c r="M105" s="141" t="s">
        <v>176</v>
      </c>
      <c r="N105" s="45" t="s">
        <v>579</v>
      </c>
      <c r="O105" s="186" t="s">
        <v>276</v>
      </c>
      <c r="P105" s="25"/>
      <c r="Q105" s="16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5">
        <v>1.0</v>
      </c>
      <c r="C106" s="45">
        <v>9.94737004985E11</v>
      </c>
      <c r="D106" s="45" t="s">
        <v>580</v>
      </c>
      <c r="E106" s="267">
        <v>46291.0</v>
      </c>
      <c r="F106" s="45" t="s">
        <v>581</v>
      </c>
      <c r="G106" s="298">
        <v>5075.0</v>
      </c>
      <c r="H106" s="45" t="s">
        <v>48</v>
      </c>
      <c r="I106" s="45" t="s">
        <v>37</v>
      </c>
      <c r="J106" s="45" t="s">
        <v>50</v>
      </c>
      <c r="K106" s="45" t="s">
        <v>39</v>
      </c>
      <c r="L106" s="25"/>
      <c r="M106" s="25"/>
      <c r="N106" s="25"/>
      <c r="O106" s="39"/>
      <c r="P106" s="25"/>
      <c r="Q106" s="162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5">
        <v>1.0</v>
      </c>
      <c r="C107" s="45">
        <v>9.96325004985E11</v>
      </c>
      <c r="D107" s="45" t="s">
        <v>582</v>
      </c>
      <c r="E107" s="190">
        <v>46294.0</v>
      </c>
      <c r="F107" s="45" t="s">
        <v>583</v>
      </c>
      <c r="G107" s="298">
        <v>4953.0</v>
      </c>
      <c r="H107" s="45" t="s">
        <v>48</v>
      </c>
      <c r="I107" s="45" t="s">
        <v>37</v>
      </c>
      <c r="J107" s="45" t="s">
        <v>50</v>
      </c>
      <c r="K107" s="45" t="s">
        <v>39</v>
      </c>
      <c r="L107" s="25"/>
      <c r="M107" s="25"/>
      <c r="N107" s="25"/>
      <c r="O107" s="39"/>
      <c r="P107" s="25"/>
      <c r="Q107" s="16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141">
        <v>1.0</v>
      </c>
      <c r="C108" s="220">
        <v>9.96378004985E11</v>
      </c>
      <c r="D108" s="141" t="s">
        <v>584</v>
      </c>
      <c r="E108" s="224">
        <v>46282.0</v>
      </c>
      <c r="F108" s="220" t="s">
        <v>585</v>
      </c>
      <c r="G108" s="141">
        <v>2689.0</v>
      </c>
      <c r="H108" s="141" t="s">
        <v>48</v>
      </c>
      <c r="I108" s="141" t="s">
        <v>37</v>
      </c>
      <c r="J108" s="141" t="s">
        <v>50</v>
      </c>
      <c r="K108" s="141" t="s">
        <v>39</v>
      </c>
      <c r="L108" s="224">
        <v>46282.0</v>
      </c>
      <c r="M108" s="141" t="s">
        <v>176</v>
      </c>
      <c r="N108" s="141" t="s">
        <v>586</v>
      </c>
      <c r="O108" s="186" t="s">
        <v>276</v>
      </c>
      <c r="P108" s="299" t="s">
        <v>587</v>
      </c>
      <c r="Q108" s="162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141">
        <v>1.0</v>
      </c>
      <c r="C109" s="137" t="s">
        <v>588</v>
      </c>
      <c r="D109" s="141" t="s">
        <v>589</v>
      </c>
      <c r="E109" s="224">
        <v>46275.0</v>
      </c>
      <c r="F109" s="139" t="s">
        <v>590</v>
      </c>
      <c r="G109" s="141">
        <v>1698.0</v>
      </c>
      <c r="H109" s="137" t="s">
        <v>363</v>
      </c>
      <c r="I109" s="141" t="s">
        <v>37</v>
      </c>
      <c r="J109" s="141" t="s">
        <v>28</v>
      </c>
      <c r="K109" s="141" t="s">
        <v>39</v>
      </c>
      <c r="L109" s="300">
        <v>46275.0</v>
      </c>
      <c r="M109" s="141" t="s">
        <v>176</v>
      </c>
      <c r="N109" s="287" t="s">
        <v>591</v>
      </c>
      <c r="O109" s="290" t="s">
        <v>276</v>
      </c>
      <c r="P109" s="25"/>
      <c r="Q109" s="162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5">
        <v>1.0</v>
      </c>
      <c r="C110" s="301">
        <v>9.98416004985E11</v>
      </c>
      <c r="D110" s="45" t="s">
        <v>592</v>
      </c>
      <c r="E110" s="190">
        <v>46300.0</v>
      </c>
      <c r="F110" s="302">
        <v>46301.895833333336</v>
      </c>
      <c r="G110" s="298">
        <v>3312.0</v>
      </c>
      <c r="H110" s="45" t="s">
        <v>48</v>
      </c>
      <c r="I110" s="45" t="s">
        <v>37</v>
      </c>
      <c r="J110" s="45" t="s">
        <v>50</v>
      </c>
      <c r="K110" s="45" t="s">
        <v>39</v>
      </c>
      <c r="L110" s="25"/>
      <c r="M110" s="25"/>
      <c r="N110" s="25"/>
      <c r="O110" s="39"/>
      <c r="P110" s="25"/>
      <c r="Q110" s="162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5">
        <v>1.0</v>
      </c>
      <c r="C111" s="298">
        <v>1.006554004985E12</v>
      </c>
      <c r="D111" s="45" t="s">
        <v>592</v>
      </c>
      <c r="E111" s="190">
        <v>46300.0</v>
      </c>
      <c r="F111" s="45" t="s">
        <v>593</v>
      </c>
      <c r="G111" s="303">
        <v>4929.0</v>
      </c>
      <c r="H111" s="45" t="s">
        <v>48</v>
      </c>
      <c r="I111" s="245" t="s">
        <v>37</v>
      </c>
      <c r="J111" s="45" t="s">
        <v>50</v>
      </c>
      <c r="K111" s="45" t="s">
        <v>39</v>
      </c>
      <c r="L111" s="190">
        <v>46295.0</v>
      </c>
      <c r="M111" s="141" t="s">
        <v>176</v>
      </c>
      <c r="N111" s="45" t="s">
        <v>594</v>
      </c>
      <c r="O111" s="186" t="s">
        <v>276</v>
      </c>
      <c r="P111" s="304" t="s">
        <v>595</v>
      </c>
      <c r="Q111" s="162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5">
        <v>1.0</v>
      </c>
      <c r="C112" s="45">
        <v>1.000957004985E12</v>
      </c>
      <c r="D112" s="45" t="s">
        <v>596</v>
      </c>
      <c r="E112" s="190">
        <v>46307.0</v>
      </c>
      <c r="F112" s="45" t="s">
        <v>597</v>
      </c>
      <c r="G112" s="45">
        <v>1092.0</v>
      </c>
      <c r="H112" s="45" t="s">
        <v>48</v>
      </c>
      <c r="I112" s="45" t="s">
        <v>37</v>
      </c>
      <c r="J112" s="45" t="s">
        <v>50</v>
      </c>
      <c r="K112" s="45" t="s">
        <v>39</v>
      </c>
      <c r="L112" s="25"/>
      <c r="M112" s="25"/>
      <c r="N112" s="25"/>
      <c r="O112" s="39"/>
      <c r="P112" s="25"/>
      <c r="Q112" s="162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141">
        <v>1.0</v>
      </c>
      <c r="C113" s="141">
        <v>1.000955004985E12</v>
      </c>
      <c r="D113" s="141" t="s">
        <v>598</v>
      </c>
      <c r="E113" s="224">
        <v>46307.0</v>
      </c>
      <c r="F113" s="141" t="s">
        <v>599</v>
      </c>
      <c r="G113" s="141">
        <v>5319.0</v>
      </c>
      <c r="H113" s="141" t="s">
        <v>48</v>
      </c>
      <c r="I113" s="141" t="s">
        <v>37</v>
      </c>
      <c r="J113" s="141" t="s">
        <v>50</v>
      </c>
      <c r="K113" s="141" t="s">
        <v>39</v>
      </c>
      <c r="L113" s="225"/>
      <c r="M113" s="225"/>
      <c r="N113" s="225"/>
      <c r="O113" s="305"/>
      <c r="P113" s="25"/>
      <c r="Q113" s="22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5">
        <v>1.0</v>
      </c>
      <c r="C114" s="45" t="s">
        <v>600</v>
      </c>
      <c r="D114" s="45" t="s">
        <v>601</v>
      </c>
      <c r="E114" s="190">
        <v>46283.0</v>
      </c>
      <c r="F114" s="43">
        <v>46284.0</v>
      </c>
      <c r="G114" s="168">
        <v>1644.0</v>
      </c>
      <c r="H114" s="82" t="s">
        <v>363</v>
      </c>
      <c r="I114" s="45" t="s">
        <v>37</v>
      </c>
      <c r="J114" s="45" t="s">
        <v>28</v>
      </c>
      <c r="K114" s="45" t="s">
        <v>39</v>
      </c>
      <c r="L114" s="190">
        <v>46283.0</v>
      </c>
      <c r="M114" s="141" t="s">
        <v>176</v>
      </c>
      <c r="N114" s="45" t="s">
        <v>602</v>
      </c>
      <c r="O114" s="186" t="s">
        <v>276</v>
      </c>
      <c r="P114" s="304" t="s">
        <v>603</v>
      </c>
      <c r="Q114" s="162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5">
        <v>1.0</v>
      </c>
      <c r="C115" s="45">
        <v>1.001867004985E12</v>
      </c>
      <c r="D115" s="45" t="s">
        <v>604</v>
      </c>
      <c r="E115" s="190">
        <v>46308.0</v>
      </c>
      <c r="F115" s="45" t="s">
        <v>605</v>
      </c>
      <c r="G115" s="45">
        <v>3846.0</v>
      </c>
      <c r="H115" s="45" t="s">
        <v>48</v>
      </c>
      <c r="I115" s="45" t="s">
        <v>37</v>
      </c>
      <c r="J115" s="45" t="s">
        <v>50</v>
      </c>
      <c r="K115" s="45" t="s">
        <v>39</v>
      </c>
      <c r="L115" s="25"/>
      <c r="M115" s="25"/>
      <c r="N115" s="25"/>
      <c r="O115" s="39"/>
      <c r="P115" s="25"/>
      <c r="Q115" s="162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5">
        <v>1.0</v>
      </c>
      <c r="C116" s="306" t="s">
        <v>606</v>
      </c>
      <c r="D116" s="45" t="s">
        <v>607</v>
      </c>
      <c r="E116" s="190">
        <v>46288.0</v>
      </c>
      <c r="F116" s="198" t="s">
        <v>608</v>
      </c>
      <c r="G116" s="45">
        <v>3510.0</v>
      </c>
      <c r="H116" s="93" t="s">
        <v>129</v>
      </c>
      <c r="I116" s="45" t="s">
        <v>37</v>
      </c>
      <c r="J116" s="45" t="s">
        <v>28</v>
      </c>
      <c r="K116" s="45" t="s">
        <v>39</v>
      </c>
      <c r="L116" s="190">
        <v>46288.0</v>
      </c>
      <c r="M116" s="141" t="s">
        <v>176</v>
      </c>
      <c r="N116" s="45" t="s">
        <v>609</v>
      </c>
      <c r="O116" s="186" t="s">
        <v>276</v>
      </c>
      <c r="P116" s="45" t="s">
        <v>610</v>
      </c>
      <c r="Q116" s="162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5">
        <v>1.0</v>
      </c>
      <c r="C117" s="45" t="s">
        <v>611</v>
      </c>
      <c r="D117" s="45" t="s">
        <v>612</v>
      </c>
      <c r="E117" s="190">
        <v>46288.0</v>
      </c>
      <c r="F117" s="198" t="s">
        <v>608</v>
      </c>
      <c r="G117" s="45">
        <v>1140.0</v>
      </c>
      <c r="H117" s="85" t="s">
        <v>34</v>
      </c>
      <c r="I117" s="45" t="s">
        <v>37</v>
      </c>
      <c r="J117" s="45" t="s">
        <v>28</v>
      </c>
      <c r="K117" s="45" t="s">
        <v>39</v>
      </c>
      <c r="L117" s="190">
        <v>46288.0</v>
      </c>
      <c r="M117" s="141" t="s">
        <v>176</v>
      </c>
      <c r="N117" s="45" t="s">
        <v>285</v>
      </c>
      <c r="O117" s="186" t="s">
        <v>276</v>
      </c>
      <c r="P117" s="45" t="s">
        <v>610</v>
      </c>
      <c r="Q117" s="162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141">
        <v>1.0</v>
      </c>
      <c r="C118" s="141" t="s">
        <v>613</v>
      </c>
      <c r="D118" s="141" t="s">
        <v>614</v>
      </c>
      <c r="E118" s="224">
        <v>46290.0</v>
      </c>
      <c r="F118" s="307" t="s">
        <v>615</v>
      </c>
      <c r="G118" s="141">
        <v>1038.0</v>
      </c>
      <c r="H118" s="191" t="s">
        <v>129</v>
      </c>
      <c r="I118" s="141" t="s">
        <v>37</v>
      </c>
      <c r="J118" s="141" t="s">
        <v>28</v>
      </c>
      <c r="K118" s="141" t="s">
        <v>39</v>
      </c>
      <c r="L118" s="249">
        <v>46290.0</v>
      </c>
      <c r="M118" s="141" t="s">
        <v>176</v>
      </c>
      <c r="N118" s="45" t="s">
        <v>616</v>
      </c>
      <c r="O118" s="186" t="s">
        <v>276</v>
      </c>
      <c r="P118" s="45" t="s">
        <v>610</v>
      </c>
      <c r="Q118" s="162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5">
        <v>1.0</v>
      </c>
      <c r="C119" s="45">
        <v>1.003726004985E12</v>
      </c>
      <c r="D119" s="45" t="s">
        <v>617</v>
      </c>
      <c r="E119" s="190">
        <v>46312.0</v>
      </c>
      <c r="F119" s="45" t="s">
        <v>618</v>
      </c>
      <c r="G119" s="45">
        <v>1620.0</v>
      </c>
      <c r="H119" s="45" t="s">
        <v>48</v>
      </c>
      <c r="I119" s="45" t="s">
        <v>37</v>
      </c>
      <c r="J119" s="45" t="s">
        <v>50</v>
      </c>
      <c r="K119" s="45" t="s">
        <v>39</v>
      </c>
      <c r="L119" s="253"/>
      <c r="M119" s="25"/>
      <c r="N119" s="25"/>
      <c r="O119" s="39"/>
      <c r="P119" s="25"/>
      <c r="Q119" s="162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5">
        <v>1.0</v>
      </c>
      <c r="C120" s="45">
        <v>1.003843004985E12</v>
      </c>
      <c r="D120" s="308" t="s">
        <v>619</v>
      </c>
      <c r="E120" s="190">
        <v>46314.0</v>
      </c>
      <c r="F120" s="45" t="s">
        <v>620</v>
      </c>
      <c r="G120" s="45">
        <v>3037.0</v>
      </c>
      <c r="H120" s="45" t="s">
        <v>48</v>
      </c>
      <c r="I120" s="45" t="s">
        <v>37</v>
      </c>
      <c r="J120" s="45" t="s">
        <v>50</v>
      </c>
      <c r="K120" s="45" t="s">
        <v>39</v>
      </c>
      <c r="L120" s="73"/>
      <c r="M120" s="73"/>
      <c r="N120" s="73"/>
      <c r="O120" s="39"/>
      <c r="P120" s="25"/>
      <c r="Q120" s="162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76" t="s">
        <v>621</v>
      </c>
      <c r="E121" s="4"/>
      <c r="F121" s="4"/>
      <c r="G121" s="4"/>
      <c r="H121" s="4"/>
      <c r="I121" s="4"/>
      <c r="J121" s="309"/>
      <c r="K121" s="309"/>
      <c r="L121" s="25"/>
      <c r="M121" s="25"/>
      <c r="N121" s="25"/>
      <c r="O121" s="39"/>
      <c r="P121" s="25"/>
      <c r="Q121" s="162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5">
        <v>1.0</v>
      </c>
      <c r="C122" s="87" t="s">
        <v>622</v>
      </c>
      <c r="D122" s="88" t="s">
        <v>529</v>
      </c>
      <c r="E122" s="114">
        <v>46292.0</v>
      </c>
      <c r="F122" s="198" t="s">
        <v>623</v>
      </c>
      <c r="G122" s="310">
        <v>5100.0</v>
      </c>
      <c r="H122" s="93" t="s">
        <v>103</v>
      </c>
      <c r="I122" s="45" t="s">
        <v>37</v>
      </c>
      <c r="J122" s="45" t="s">
        <v>31</v>
      </c>
      <c r="K122" s="45" t="s">
        <v>39</v>
      </c>
      <c r="L122" s="190">
        <v>46292.0</v>
      </c>
      <c r="M122" s="141" t="s">
        <v>176</v>
      </c>
      <c r="N122" s="56" t="s">
        <v>624</v>
      </c>
      <c r="O122" s="186" t="s">
        <v>276</v>
      </c>
      <c r="P122" s="45" t="s">
        <v>625</v>
      </c>
      <c r="Q122" s="162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5">
        <v>1.0</v>
      </c>
      <c r="C123" s="311" t="s">
        <v>626</v>
      </c>
      <c r="D123" s="311" t="s">
        <v>627</v>
      </c>
      <c r="E123" s="312">
        <v>46292.0</v>
      </c>
      <c r="F123" s="313">
        <v>46294.0</v>
      </c>
      <c r="G123" s="298">
        <v>3931.0</v>
      </c>
      <c r="H123" s="314" t="s">
        <v>114</v>
      </c>
      <c r="I123" s="315" t="s">
        <v>418</v>
      </c>
      <c r="J123" s="316" t="s">
        <v>31</v>
      </c>
      <c r="K123" s="45" t="s">
        <v>39</v>
      </c>
      <c r="L123" s="190">
        <v>46292.0</v>
      </c>
      <c r="M123" s="141" t="s">
        <v>176</v>
      </c>
      <c r="N123" s="56" t="s">
        <v>628</v>
      </c>
      <c r="O123" s="186" t="s">
        <v>276</v>
      </c>
      <c r="P123" s="45" t="s">
        <v>610</v>
      </c>
      <c r="Q123" s="162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5">
        <v>1.0</v>
      </c>
      <c r="C124" s="316" t="s">
        <v>629</v>
      </c>
      <c r="D124" s="317" t="s">
        <v>630</v>
      </c>
      <c r="E124" s="312">
        <v>46292.0</v>
      </c>
      <c r="F124" s="313">
        <v>46296.0</v>
      </c>
      <c r="G124" s="298">
        <v>375.0</v>
      </c>
      <c r="H124" s="314" t="s">
        <v>114</v>
      </c>
      <c r="I124" s="315" t="s">
        <v>418</v>
      </c>
      <c r="J124" s="316" t="s">
        <v>31</v>
      </c>
      <c r="K124" s="45" t="s">
        <v>39</v>
      </c>
      <c r="L124" s="190">
        <v>46292.0</v>
      </c>
      <c r="M124" s="141" t="s">
        <v>176</v>
      </c>
      <c r="N124" s="56" t="s">
        <v>628</v>
      </c>
      <c r="O124" s="186" t="s">
        <v>276</v>
      </c>
      <c r="P124" s="45" t="s">
        <v>610</v>
      </c>
      <c r="Q124" s="162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5">
        <v>1.0</v>
      </c>
      <c r="C125" s="298" t="s">
        <v>631</v>
      </c>
      <c r="D125" s="70" t="s">
        <v>632</v>
      </c>
      <c r="E125" s="114">
        <v>46293.0</v>
      </c>
      <c r="F125" s="318">
        <v>46294.0</v>
      </c>
      <c r="G125" s="298">
        <v>3473.0</v>
      </c>
      <c r="H125" s="176" t="s">
        <v>103</v>
      </c>
      <c r="I125" s="45" t="s">
        <v>37</v>
      </c>
      <c r="J125" s="45" t="s">
        <v>31</v>
      </c>
      <c r="K125" s="45" t="s">
        <v>39</v>
      </c>
      <c r="L125" s="190">
        <v>46293.0</v>
      </c>
      <c r="M125" s="141" t="s">
        <v>176</v>
      </c>
      <c r="N125" s="56" t="s">
        <v>376</v>
      </c>
      <c r="O125" s="186" t="s">
        <v>276</v>
      </c>
      <c r="P125" s="45" t="s">
        <v>633</v>
      </c>
      <c r="Q125" s="162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141">
        <v>1.0</v>
      </c>
      <c r="C126" s="319" t="s">
        <v>634</v>
      </c>
      <c r="D126" s="141" t="s">
        <v>635</v>
      </c>
      <c r="E126" s="103">
        <v>46295.0</v>
      </c>
      <c r="F126" s="320">
        <v>46296.0</v>
      </c>
      <c r="G126" s="319">
        <v>1875.0</v>
      </c>
      <c r="H126" s="321" t="s">
        <v>103</v>
      </c>
      <c r="I126" s="141" t="s">
        <v>37</v>
      </c>
      <c r="J126" s="141" t="s">
        <v>31</v>
      </c>
      <c r="K126" s="45" t="s">
        <v>39</v>
      </c>
      <c r="L126" s="190">
        <v>46295.0</v>
      </c>
      <c r="M126" s="141" t="s">
        <v>176</v>
      </c>
      <c r="N126" s="56" t="s">
        <v>636</v>
      </c>
      <c r="O126" s="39"/>
      <c r="P126" s="25"/>
      <c r="Q126" s="162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5">
        <v>1.0</v>
      </c>
      <c r="C127" s="45" t="s">
        <v>637</v>
      </c>
      <c r="D127" s="45" t="s">
        <v>638</v>
      </c>
      <c r="E127" s="114">
        <v>46292.0</v>
      </c>
      <c r="F127" s="114">
        <v>46295.0</v>
      </c>
      <c r="G127" s="298">
        <v>5380.0</v>
      </c>
      <c r="H127" s="93" t="s">
        <v>135</v>
      </c>
      <c r="I127" s="322" t="s">
        <v>53</v>
      </c>
      <c r="J127" s="45" t="s">
        <v>31</v>
      </c>
      <c r="K127" s="245" t="s">
        <v>39</v>
      </c>
      <c r="L127" s="190">
        <v>46294.0</v>
      </c>
      <c r="M127" s="141" t="s">
        <v>176</v>
      </c>
      <c r="N127" s="56" t="s">
        <v>639</v>
      </c>
      <c r="O127" s="186" t="s">
        <v>276</v>
      </c>
      <c r="P127" s="45" t="s">
        <v>640</v>
      </c>
      <c r="Q127" s="162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5">
        <v>1.0</v>
      </c>
      <c r="C128" s="70" t="s">
        <v>641</v>
      </c>
      <c r="D128" s="45" t="s">
        <v>642</v>
      </c>
      <c r="E128" s="114">
        <v>46297.0</v>
      </c>
      <c r="F128" s="323">
        <v>46298.0</v>
      </c>
      <c r="G128" s="298">
        <v>5199.0</v>
      </c>
      <c r="H128" s="176" t="s">
        <v>103</v>
      </c>
      <c r="I128" s="45" t="s">
        <v>37</v>
      </c>
      <c r="J128" s="45" t="s">
        <v>31</v>
      </c>
      <c r="K128" s="45" t="s">
        <v>39</v>
      </c>
      <c r="L128" s="190">
        <v>46297.0</v>
      </c>
      <c r="M128" s="141" t="s">
        <v>176</v>
      </c>
      <c r="N128" s="45" t="s">
        <v>643</v>
      </c>
      <c r="O128" s="39"/>
      <c r="P128" s="25"/>
      <c r="Q128" s="162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119">
        <v>1.0</v>
      </c>
      <c r="C129" s="45" t="s">
        <v>644</v>
      </c>
      <c r="D129" s="45" t="s">
        <v>645</v>
      </c>
      <c r="E129" s="114">
        <v>46298.0</v>
      </c>
      <c r="F129" s="323">
        <v>46299.0</v>
      </c>
      <c r="G129" s="45">
        <v>1566.0</v>
      </c>
      <c r="H129" s="93" t="s">
        <v>129</v>
      </c>
      <c r="I129" s="45" t="s">
        <v>37</v>
      </c>
      <c r="J129" s="45" t="s">
        <v>28</v>
      </c>
      <c r="K129" s="45" t="s">
        <v>39</v>
      </c>
      <c r="L129" s="25"/>
      <c r="M129" s="25"/>
      <c r="N129" s="25"/>
      <c r="O129" s="39"/>
      <c r="P129" s="25"/>
      <c r="Q129" s="162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27"/>
      <c r="C130" s="45" t="s">
        <v>646</v>
      </c>
      <c r="D130" s="324" t="s">
        <v>647</v>
      </c>
      <c r="E130" s="114">
        <v>46298.0</v>
      </c>
      <c r="F130" s="323">
        <v>46299.0</v>
      </c>
      <c r="G130" s="45">
        <v>1830.0</v>
      </c>
      <c r="H130" s="93" t="s">
        <v>129</v>
      </c>
      <c r="I130" s="45" t="s">
        <v>37</v>
      </c>
      <c r="J130" s="45" t="s">
        <v>28</v>
      </c>
      <c r="K130" s="45" t="s">
        <v>39</v>
      </c>
      <c r="L130" s="25"/>
      <c r="M130" s="25"/>
      <c r="N130" s="25"/>
      <c r="O130" s="39"/>
      <c r="P130" s="25"/>
      <c r="Q130" s="162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5">
        <v>1.0</v>
      </c>
      <c r="C131" s="88" t="s">
        <v>648</v>
      </c>
      <c r="D131" s="88" t="s">
        <v>529</v>
      </c>
      <c r="E131" s="114">
        <v>46298.0</v>
      </c>
      <c r="F131" s="325">
        <v>46299.0</v>
      </c>
      <c r="G131" s="56">
        <v>5100.0</v>
      </c>
      <c r="H131" s="88" t="s">
        <v>103</v>
      </c>
      <c r="I131" s="45" t="s">
        <v>37</v>
      </c>
      <c r="J131" s="45" t="s">
        <v>31</v>
      </c>
      <c r="K131" s="45" t="s">
        <v>39</v>
      </c>
      <c r="L131" s="25"/>
      <c r="M131" s="25"/>
      <c r="N131" s="25"/>
      <c r="O131" s="39"/>
      <c r="P131" s="25"/>
      <c r="Q131" s="162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266">
        <v>1.0</v>
      </c>
      <c r="C132" s="326" t="s">
        <v>649</v>
      </c>
      <c r="D132" s="88" t="s">
        <v>529</v>
      </c>
      <c r="E132" s="114">
        <v>46298.0</v>
      </c>
      <c r="F132" s="325">
        <v>46299.0</v>
      </c>
      <c r="G132" s="56">
        <v>4521.0</v>
      </c>
      <c r="H132" s="88" t="s">
        <v>103</v>
      </c>
      <c r="I132" s="45" t="s">
        <v>37</v>
      </c>
      <c r="J132" s="45" t="s">
        <v>31</v>
      </c>
      <c r="K132" s="45" t="s">
        <v>39</v>
      </c>
      <c r="L132" s="25"/>
      <c r="M132" s="25"/>
      <c r="N132" s="25"/>
      <c r="O132" s="39"/>
      <c r="P132" s="25"/>
      <c r="Q132" s="162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27"/>
      <c r="C133" s="87" t="s">
        <v>650</v>
      </c>
      <c r="D133" s="88" t="s">
        <v>651</v>
      </c>
      <c r="E133" s="114">
        <v>46298.0</v>
      </c>
      <c r="F133" s="325">
        <v>46299.0</v>
      </c>
      <c r="G133" s="56">
        <v>989.0</v>
      </c>
      <c r="H133" s="88" t="s">
        <v>103</v>
      </c>
      <c r="I133" s="45" t="s">
        <v>37</v>
      </c>
      <c r="J133" s="45" t="s">
        <v>31</v>
      </c>
      <c r="K133" s="45" t="s">
        <v>39</v>
      </c>
      <c r="L133" s="25"/>
      <c r="M133" s="25"/>
      <c r="N133" s="25"/>
      <c r="O133" s="39"/>
      <c r="P133" s="25"/>
      <c r="Q133" s="162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39"/>
      <c r="P134" s="4"/>
      <c r="Q134" s="9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39"/>
      <c r="P135" s="4"/>
      <c r="Q135" s="9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39"/>
      <c r="P136" s="4"/>
      <c r="Q136" s="9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9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9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9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9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9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9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9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9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9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9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9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9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9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9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9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9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9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9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9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9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9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9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9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9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9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9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9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9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9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9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9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9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9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9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9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9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9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9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9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9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9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9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9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9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9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9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9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9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9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9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9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9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9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9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9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9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9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9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9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9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9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9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9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9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9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9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9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9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9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9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9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9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9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9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9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9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9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9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9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9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9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9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9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9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9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9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9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9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9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9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9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9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9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9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9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9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9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9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9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9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9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9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9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9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9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9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9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9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9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9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9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9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9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9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9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9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9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9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9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9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9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9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9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9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9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9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9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9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9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9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9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9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9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9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9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9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9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9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9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9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9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9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9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9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9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9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9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9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9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9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9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9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9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9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9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9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9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9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9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9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9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9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9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9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9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9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9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9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9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9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9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9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9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9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9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9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9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9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9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9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9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9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9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9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9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9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9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9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9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9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9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9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9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9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9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9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9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9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9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9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9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9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9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9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9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9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9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9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9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9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9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9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9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9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9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9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9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9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9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9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9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9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9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9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9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9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9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9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9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9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9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9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9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9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9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9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9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9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9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9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9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9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9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9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9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9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9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9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9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9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9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9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9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9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9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9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9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9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9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9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9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9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9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9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9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9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9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9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9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9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9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9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9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9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9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9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9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9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9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9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9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9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9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9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9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9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9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9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9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9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9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9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9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9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9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9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9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9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9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9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9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9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9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9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9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9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9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9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9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9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9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9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9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9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9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9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9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9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9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9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9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9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9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9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9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9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9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9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9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9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9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9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9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9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9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9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9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9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9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9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9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9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9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9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9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9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9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9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9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9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9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9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9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9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9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9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9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9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9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9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9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9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9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9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9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9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9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9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9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9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9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9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9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9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9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9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9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9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9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9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9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9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9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9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9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9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9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9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9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9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9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9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9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9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9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9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9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9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9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9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9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9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9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9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9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9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9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9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9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9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9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9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9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9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9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9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9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9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9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9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9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9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9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9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9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9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9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9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9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9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9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9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9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9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9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9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9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9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9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9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9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9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9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9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9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9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9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9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9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9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9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9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9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9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9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9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9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9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9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9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9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9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9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9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9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9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9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9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9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9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9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9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9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9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9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9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9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9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9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9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9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9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9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9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9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9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9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9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9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9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9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9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9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9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9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9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9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9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9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9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9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9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9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9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9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9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9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9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9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9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9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9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9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9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9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9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9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9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9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9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9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9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9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9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9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9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9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9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9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9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9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9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9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9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9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9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9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9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9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9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9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9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9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9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9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9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9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9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9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9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9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9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9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9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9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9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9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9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9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9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9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9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9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9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9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9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9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9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9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9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9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9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9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9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9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9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9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9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9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9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9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9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9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9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9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9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9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9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9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9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9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9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9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9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9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9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9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9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9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9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9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9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9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9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9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9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9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9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9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9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9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9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9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9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9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9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9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9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9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9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9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9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9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9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9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9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9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9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9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9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9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9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9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9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9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9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9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9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9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9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9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9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9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9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9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9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9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9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9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9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9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9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9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9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9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9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9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9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9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9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9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9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9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9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9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9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9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9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9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9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9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9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9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9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9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9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9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9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9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9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9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9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9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9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9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9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9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9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9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9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9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9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9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9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9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9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9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9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9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9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9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9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9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9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9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9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9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9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9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9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9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9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9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9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9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9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9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9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9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9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9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9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9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9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9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9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9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9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9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9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9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9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9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9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9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9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9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9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9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9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9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9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9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9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9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9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9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9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9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9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9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9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9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9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9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9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9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9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9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9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9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9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9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9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9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9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9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9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9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9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9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9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9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9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9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9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9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9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9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9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9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9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9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9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9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9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9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9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9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9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9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9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9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9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9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9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9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9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9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9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9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9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9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9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9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9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9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9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9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9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9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9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9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9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9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9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9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9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9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9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9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9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9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9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9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9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9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9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9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9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9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9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9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9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9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9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9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9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9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9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9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9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9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9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9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9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9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9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9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9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9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9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9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9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9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9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9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9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9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9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9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9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9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9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9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9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9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9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9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9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9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9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9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9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9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9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9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9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9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9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9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9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9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9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9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9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9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9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9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9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9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9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9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9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9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9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9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9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9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9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9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9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9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9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9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9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9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9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9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9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9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9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9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9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9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9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9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9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9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9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9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9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9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9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9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9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9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9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9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9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9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9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9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9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9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9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9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9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9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9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9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9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9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9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9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9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9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9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9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9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9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9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9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9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9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9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9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9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9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9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9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9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9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9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9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9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9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9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9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9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9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9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9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9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9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9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9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9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9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9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9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9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9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9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9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9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9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9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9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9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9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9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9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9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9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9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9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9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9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9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9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9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9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9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9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9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9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9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9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9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9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9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9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9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9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9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9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9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9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9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9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9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9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9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9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9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9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9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9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9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9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9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9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9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9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9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9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9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9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9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9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9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9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9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9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9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9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9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9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9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9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9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9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9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9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9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9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9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9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9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9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9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9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9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9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9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9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9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9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9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9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9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9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9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9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9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9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9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9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9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9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9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9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9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9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9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9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9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9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9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9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9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9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9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9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9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9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9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9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9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9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9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9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9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9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9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9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9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9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9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9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9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9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9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9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9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9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9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9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9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9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9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9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9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9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9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9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9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9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9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9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9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9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9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9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9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9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9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9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9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9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9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9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9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9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9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9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9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9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9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9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9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9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9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9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9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9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9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9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9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9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9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9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9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9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9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9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9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9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9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9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9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9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9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9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9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9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9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9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9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9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9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9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9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9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9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9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9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9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9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9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9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9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9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9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9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9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9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9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9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9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9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9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9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9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9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9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9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9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9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9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9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9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9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9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9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9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9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9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9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9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9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9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9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9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9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9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9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9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9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9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9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9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9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9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9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9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9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9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9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9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9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9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9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9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9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9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9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9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9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9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9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9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9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9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9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9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9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9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9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9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9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9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9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9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9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9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9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9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9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9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9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9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9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9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9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9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9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9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9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9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9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9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9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9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9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9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9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9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9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9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9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9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9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9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9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9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9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9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9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9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9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9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9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9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9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9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9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9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9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9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9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9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9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9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9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9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9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9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9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9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9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9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9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9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9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9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9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9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9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9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9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9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9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9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9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9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9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9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9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9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9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9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9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9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9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9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9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9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9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9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9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9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9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9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9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9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9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9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9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9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9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9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9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9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9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9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9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9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9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9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9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9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9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9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9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9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9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9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9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9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9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9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9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9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9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9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9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9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9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9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9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9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9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9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9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9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9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9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9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9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9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9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9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9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9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9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9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9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9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9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9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9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9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9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9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9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9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9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9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9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9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9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9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9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9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9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9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9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9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9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9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9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9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9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9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9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9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9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9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9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9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9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9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9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9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9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9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9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9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9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9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9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9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9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9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9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9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9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9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9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9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9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9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9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9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9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9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9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9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9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9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9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9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9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9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9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9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9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9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9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9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9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9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9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9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9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9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9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9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9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9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9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9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9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9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9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9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9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9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9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9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9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9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9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9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9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9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9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9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9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9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9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9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9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9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9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9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9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9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9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9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9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9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9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9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9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9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9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9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9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9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9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9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9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9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9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9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9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9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9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9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9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9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9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9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9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9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9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9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9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9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9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9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9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9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9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9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9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9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9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9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9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9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9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9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9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9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9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9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9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9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9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9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9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9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9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9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9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9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9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9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9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9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9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9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9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9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9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9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9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9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9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9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9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9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9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9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9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9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9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9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9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9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9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9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9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9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9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9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9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9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9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9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9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9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9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9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9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9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9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9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9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9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9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9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9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9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9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9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9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9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9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9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9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9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9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9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9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9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9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9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9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9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9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9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9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9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9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9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9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9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9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9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9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9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9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9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9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9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9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9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9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9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9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9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9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9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9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9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9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9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9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9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9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9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9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9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9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9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9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9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9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9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9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9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9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9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9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9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9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9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9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9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9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9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9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9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9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9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9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9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9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9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9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9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9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9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9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9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9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9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9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9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9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9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9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9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9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9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9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9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9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9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9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9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9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9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9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9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9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9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9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9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9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9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9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9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9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9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9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9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9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9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9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9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9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9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9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9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9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9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9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9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9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9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9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9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9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9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9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9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9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9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9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9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9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9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9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9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9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9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9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9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9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9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9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9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9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9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9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9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9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9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9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9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9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9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9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9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9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9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9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9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9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9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9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9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9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9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9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9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9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9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9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9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9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9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9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9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9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9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9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9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9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9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9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9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9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9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9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9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9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9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9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9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9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9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9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9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9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9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9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9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9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9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9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9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9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9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9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9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9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9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9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9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9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9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9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9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9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</sheetData>
  <mergeCells count="43">
    <mergeCell ref="B4:B5"/>
    <mergeCell ref="E4:E5"/>
    <mergeCell ref="K4:K5"/>
    <mergeCell ref="B6:B7"/>
    <mergeCell ref="E6:E7"/>
    <mergeCell ref="E10:E13"/>
    <mergeCell ref="K10:K13"/>
    <mergeCell ref="J19:J20"/>
    <mergeCell ref="J23:J25"/>
    <mergeCell ref="K23:K25"/>
    <mergeCell ref="J26:J27"/>
    <mergeCell ref="L76:N76"/>
    <mergeCell ref="L77:L78"/>
    <mergeCell ref="M77:M78"/>
    <mergeCell ref="N77:N78"/>
    <mergeCell ref="J4:J5"/>
    <mergeCell ref="J10:J13"/>
    <mergeCell ref="J14:J15"/>
    <mergeCell ref="K14:K15"/>
    <mergeCell ref="J17:J18"/>
    <mergeCell ref="K17:K18"/>
    <mergeCell ref="K19:K20"/>
    <mergeCell ref="B77:B78"/>
    <mergeCell ref="C77:C78"/>
    <mergeCell ref="O77:O78"/>
    <mergeCell ref="P77:P78"/>
    <mergeCell ref="Q77:Q78"/>
    <mergeCell ref="E21:E22"/>
    <mergeCell ref="E23:E25"/>
    <mergeCell ref="B26:B27"/>
    <mergeCell ref="E26:E27"/>
    <mergeCell ref="H26:H27"/>
    <mergeCell ref="B34:B35"/>
    <mergeCell ref="B44:B45"/>
    <mergeCell ref="B129:B130"/>
    <mergeCell ref="B132:B133"/>
    <mergeCell ref="B10:B13"/>
    <mergeCell ref="B14:B15"/>
    <mergeCell ref="E14:E15"/>
    <mergeCell ref="B17:B18"/>
    <mergeCell ref="E17:E18"/>
    <mergeCell ref="B19:B20"/>
    <mergeCell ref="E19:E20"/>
  </mergeCells>
  <dataValidations>
    <dataValidation type="list" allowBlank="1" showErrorMessage="1" sqref="K3:K4 K6:K10 K14 K16:K17 K19 K21:K23 K26:K186">
      <formula1>"Mysore,Manesar"</formula1>
    </dataValidation>
    <dataValidation type="list" allowBlank="1" showErrorMessage="1" sqref="O3:O77 O79:O136">
      <formula1>"Not Delivered,Delivered"</formula1>
    </dataValidation>
  </dataValidations>
  <hyperlinks>
    <hyperlink r:id="rId4" ref="C33"/>
    <hyperlink r:id="rId5" ref="C39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0.63"/>
    <col customWidth="1" min="4" max="4" width="33.63"/>
    <col customWidth="1" min="5" max="5" width="14.5"/>
    <col customWidth="1" min="6" max="6" width="26.63"/>
    <col customWidth="1" min="8" max="8" width="21.75"/>
    <col customWidth="1" min="9" max="9" width="14.75"/>
  </cols>
  <sheetData>
    <row r="1">
      <c r="A1" s="1"/>
      <c r="G1" s="2"/>
    </row>
    <row r="2">
      <c r="B2" s="3" t="s">
        <v>0</v>
      </c>
      <c r="C2" s="3" t="s">
        <v>1</v>
      </c>
      <c r="D2" s="3" t="s">
        <v>2</v>
      </c>
      <c r="E2" s="3" t="s">
        <v>3</v>
      </c>
      <c r="F2" s="3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7" t="s">
        <v>10</v>
      </c>
      <c r="L2" s="7" t="s">
        <v>12</v>
      </c>
      <c r="M2" s="7" t="s">
        <v>13</v>
      </c>
      <c r="N2" s="7" t="s">
        <v>15</v>
      </c>
    </row>
    <row r="3">
      <c r="B3" s="11">
        <v>6.0</v>
      </c>
      <c r="C3" s="13" t="s">
        <v>22</v>
      </c>
      <c r="D3" s="13" t="s">
        <v>26</v>
      </c>
      <c r="E3" s="15"/>
      <c r="F3" s="15">
        <v>46188.0</v>
      </c>
      <c r="G3" s="16">
        <v>7792.0</v>
      </c>
      <c r="H3" s="13" t="s">
        <v>30</v>
      </c>
      <c r="I3" s="19" t="s">
        <v>31</v>
      </c>
      <c r="J3" s="19" t="s">
        <v>39</v>
      </c>
      <c r="K3" s="25"/>
      <c r="L3" s="25"/>
      <c r="M3" s="25"/>
      <c r="N3" s="25"/>
    </row>
    <row r="4">
      <c r="B4" s="27"/>
      <c r="C4" s="13" t="s">
        <v>43</v>
      </c>
      <c r="D4" s="13" t="s">
        <v>44</v>
      </c>
      <c r="E4" s="15"/>
      <c r="F4" s="15">
        <v>46188.0</v>
      </c>
      <c r="G4" s="16">
        <v>610.0</v>
      </c>
      <c r="H4" s="13" t="s">
        <v>30</v>
      </c>
      <c r="I4" s="27"/>
      <c r="J4" s="27"/>
      <c r="K4" s="31"/>
      <c r="L4" s="31"/>
      <c r="M4" s="31"/>
      <c r="N4" s="31"/>
    </row>
    <row r="5">
      <c r="B5" s="34">
        <v>1.0</v>
      </c>
      <c r="C5" s="36" t="s">
        <v>56</v>
      </c>
      <c r="D5" s="38" t="s">
        <v>57</v>
      </c>
      <c r="E5" s="40"/>
      <c r="F5" s="40">
        <v>46185.0</v>
      </c>
      <c r="G5" s="16">
        <v>4385.0</v>
      </c>
      <c r="H5" s="13" t="s">
        <v>61</v>
      </c>
      <c r="I5" s="38" t="s">
        <v>31</v>
      </c>
      <c r="J5" s="38" t="s">
        <v>65</v>
      </c>
      <c r="K5" s="43">
        <v>46185.0</v>
      </c>
      <c r="L5" s="45"/>
      <c r="M5" s="45" t="s">
        <v>72</v>
      </c>
      <c r="N5" s="45">
        <v>9.760347713E9</v>
      </c>
    </row>
    <row r="6">
      <c r="B6" s="11">
        <v>2.0</v>
      </c>
      <c r="C6" s="38" t="s">
        <v>77</v>
      </c>
      <c r="D6" s="38" t="s">
        <v>78</v>
      </c>
      <c r="E6" s="40"/>
      <c r="F6" s="40">
        <v>46188.0</v>
      </c>
      <c r="G6" s="34">
        <v>2634.0</v>
      </c>
      <c r="H6" s="13" t="s">
        <v>61</v>
      </c>
      <c r="I6" s="38" t="s">
        <v>31</v>
      </c>
      <c r="J6" s="38" t="s">
        <v>65</v>
      </c>
      <c r="K6" s="43"/>
      <c r="L6" s="45"/>
      <c r="M6" s="45"/>
      <c r="N6" s="45"/>
    </row>
    <row r="7">
      <c r="B7" s="49"/>
      <c r="C7" s="13" t="s">
        <v>82</v>
      </c>
      <c r="D7" s="13" t="s">
        <v>83</v>
      </c>
      <c r="E7" s="15"/>
      <c r="F7" s="15">
        <v>46188.0</v>
      </c>
      <c r="G7" s="16">
        <v>250.0</v>
      </c>
      <c r="H7" s="13" t="s">
        <v>61</v>
      </c>
      <c r="I7" s="38" t="s">
        <v>31</v>
      </c>
      <c r="J7" s="38" t="s">
        <v>65</v>
      </c>
      <c r="K7" s="25"/>
      <c r="L7" s="25"/>
      <c r="M7" s="25"/>
      <c r="N7" s="25"/>
    </row>
    <row r="8">
      <c r="B8" s="27"/>
      <c r="C8" s="13" t="s">
        <v>90</v>
      </c>
      <c r="D8" s="13" t="s">
        <v>91</v>
      </c>
      <c r="E8" s="15"/>
      <c r="F8" s="15">
        <v>46188.0</v>
      </c>
      <c r="G8" s="16">
        <v>2209.0</v>
      </c>
      <c r="H8" s="13" t="s">
        <v>61</v>
      </c>
      <c r="I8" s="38" t="s">
        <v>31</v>
      </c>
      <c r="J8" s="38" t="s">
        <v>65</v>
      </c>
      <c r="K8" s="25"/>
      <c r="L8" s="25"/>
      <c r="M8" s="25"/>
      <c r="N8" s="25"/>
    </row>
    <row r="9">
      <c r="B9" s="16">
        <v>3.0</v>
      </c>
      <c r="C9" s="13" t="s">
        <v>92</v>
      </c>
      <c r="D9" s="13" t="s">
        <v>93</v>
      </c>
      <c r="E9" s="15"/>
      <c r="F9" s="15">
        <v>46188.0</v>
      </c>
      <c r="G9" s="16">
        <v>4180.0</v>
      </c>
      <c r="H9" s="13" t="s">
        <v>61</v>
      </c>
      <c r="I9" s="38" t="s">
        <v>31</v>
      </c>
      <c r="J9" s="38" t="s">
        <v>65</v>
      </c>
      <c r="K9" s="25"/>
      <c r="L9" s="25"/>
      <c r="M9" s="25"/>
      <c r="N9" s="25"/>
    </row>
    <row r="10">
      <c r="B10" s="34">
        <v>4.0</v>
      </c>
      <c r="C10" s="38" t="s">
        <v>95</v>
      </c>
      <c r="D10" s="38" t="s">
        <v>96</v>
      </c>
      <c r="E10" s="40"/>
      <c r="F10" s="40">
        <v>46189.0</v>
      </c>
      <c r="G10" s="34">
        <v>1002.0</v>
      </c>
      <c r="H10" s="38" t="s">
        <v>98</v>
      </c>
      <c r="I10" s="38" t="s">
        <v>28</v>
      </c>
      <c r="J10" s="38" t="s">
        <v>65</v>
      </c>
      <c r="K10" s="25"/>
      <c r="L10" s="25"/>
      <c r="M10" s="25"/>
      <c r="N10" s="25"/>
    </row>
    <row r="11">
      <c r="B11" s="56">
        <v>1.0</v>
      </c>
      <c r="C11" s="38" t="s">
        <v>107</v>
      </c>
      <c r="D11" s="38" t="s">
        <v>108</v>
      </c>
      <c r="E11" s="40"/>
      <c r="F11" s="40">
        <v>46195.0</v>
      </c>
      <c r="G11" s="34">
        <v>7822.0</v>
      </c>
      <c r="H11" s="38" t="s">
        <v>61</v>
      </c>
      <c r="I11" s="45" t="s">
        <v>31</v>
      </c>
      <c r="J11" s="38" t="s">
        <v>65</v>
      </c>
      <c r="K11" s="25"/>
      <c r="L11" s="25"/>
      <c r="M11" s="25"/>
      <c r="N11" s="25"/>
    </row>
    <row r="12">
      <c r="B12" s="56">
        <v>1.0</v>
      </c>
      <c r="C12" s="38">
        <v>9.76202004986E11</v>
      </c>
      <c r="D12" s="38" t="s">
        <v>118</v>
      </c>
      <c r="E12" s="38"/>
      <c r="F12" s="38" t="s">
        <v>119</v>
      </c>
      <c r="G12" s="61">
        <v>1908.0</v>
      </c>
      <c r="H12" s="38" t="s">
        <v>125</v>
      </c>
      <c r="I12" s="47" t="s">
        <v>50</v>
      </c>
      <c r="J12" s="45" t="s">
        <v>65</v>
      </c>
      <c r="K12" s="25"/>
      <c r="L12" s="25"/>
      <c r="M12" s="25"/>
      <c r="N12" s="25"/>
    </row>
    <row r="13">
      <c r="B13" s="56">
        <v>1.0</v>
      </c>
      <c r="C13" s="38">
        <v>9.76064004986E11</v>
      </c>
      <c r="D13" s="38" t="s">
        <v>133</v>
      </c>
      <c r="E13" s="38"/>
      <c r="F13" s="38" t="s">
        <v>134</v>
      </c>
      <c r="G13" s="61">
        <v>3405.0</v>
      </c>
      <c r="H13" s="38" t="s">
        <v>125</v>
      </c>
      <c r="I13" s="47" t="s">
        <v>50</v>
      </c>
      <c r="J13" s="45" t="s">
        <v>65</v>
      </c>
      <c r="K13" s="25"/>
      <c r="L13" s="25"/>
      <c r="M13" s="25"/>
      <c r="N13" s="25"/>
    </row>
    <row r="14">
      <c r="B14" s="56">
        <v>1.0</v>
      </c>
      <c r="C14" s="45">
        <v>9.78406004986E11</v>
      </c>
      <c r="D14" s="45" t="s">
        <v>137</v>
      </c>
      <c r="E14" s="45"/>
      <c r="F14" s="45" t="s">
        <v>140</v>
      </c>
      <c r="G14" s="56">
        <v>2812.0</v>
      </c>
      <c r="H14" s="45" t="s">
        <v>125</v>
      </c>
      <c r="I14" s="45" t="s">
        <v>50</v>
      </c>
      <c r="J14" s="45" t="s">
        <v>65</v>
      </c>
      <c r="K14" s="25"/>
      <c r="L14" s="25"/>
      <c r="M14" s="25"/>
      <c r="N14" s="25"/>
    </row>
    <row r="15">
      <c r="B15" s="68">
        <v>1.0</v>
      </c>
      <c r="C15" s="36" t="s">
        <v>147</v>
      </c>
      <c r="D15" s="38" t="s">
        <v>148</v>
      </c>
      <c r="E15" s="40"/>
      <c r="F15" s="40">
        <v>46196.0</v>
      </c>
      <c r="G15" s="56">
        <v>1380.0</v>
      </c>
      <c r="H15" s="38" t="s">
        <v>62</v>
      </c>
      <c r="I15" s="45" t="s">
        <v>28</v>
      </c>
      <c r="J15" s="45" t="s">
        <v>65</v>
      </c>
      <c r="K15" s="25"/>
      <c r="L15" s="25"/>
      <c r="M15" s="25"/>
      <c r="N15" s="25"/>
    </row>
    <row r="16">
      <c r="B16" s="27"/>
      <c r="C16" s="70" t="s">
        <v>152</v>
      </c>
      <c r="D16" s="71" t="s">
        <v>154</v>
      </c>
      <c r="E16" s="40"/>
      <c r="F16" s="40">
        <v>46196.0</v>
      </c>
      <c r="G16" s="56">
        <v>1002.0</v>
      </c>
      <c r="H16" s="38" t="s">
        <v>62</v>
      </c>
      <c r="I16" s="45" t="s">
        <v>28</v>
      </c>
      <c r="J16" s="45" t="s">
        <v>65</v>
      </c>
      <c r="K16" s="73"/>
      <c r="L16" s="73"/>
      <c r="M16" s="73"/>
      <c r="N16" s="73"/>
    </row>
    <row r="17">
      <c r="B17" s="56">
        <v>1.0</v>
      </c>
      <c r="C17" s="75" t="s">
        <v>159</v>
      </c>
      <c r="D17" s="38" t="s">
        <v>163</v>
      </c>
      <c r="E17" s="40"/>
      <c r="F17" s="40">
        <v>46207.0</v>
      </c>
      <c r="G17" s="56">
        <v>7556.0</v>
      </c>
      <c r="H17" s="45" t="s">
        <v>30</v>
      </c>
      <c r="I17" s="45" t="s">
        <v>31</v>
      </c>
      <c r="J17" s="45" t="s">
        <v>65</v>
      </c>
      <c r="K17" s="45" t="s">
        <v>31</v>
      </c>
      <c r="L17" s="73"/>
      <c r="M17" s="73"/>
      <c r="N17" s="73"/>
    </row>
    <row r="18">
      <c r="B18" s="68">
        <v>1.0</v>
      </c>
      <c r="C18" s="70" t="s">
        <v>168</v>
      </c>
      <c r="D18" s="78" t="s">
        <v>171</v>
      </c>
      <c r="E18" s="81"/>
      <c r="F18" s="81">
        <v>46211.0</v>
      </c>
      <c r="G18" s="56">
        <v>1729.0</v>
      </c>
      <c r="H18" s="13" t="s">
        <v>61</v>
      </c>
      <c r="I18" s="38" t="s">
        <v>31</v>
      </c>
      <c r="J18" s="38" t="s">
        <v>65</v>
      </c>
      <c r="K18" s="73"/>
      <c r="L18" s="73"/>
      <c r="M18" s="73"/>
      <c r="N18" s="73"/>
    </row>
    <row r="19">
      <c r="B19" s="27"/>
      <c r="C19" s="82" t="s">
        <v>180</v>
      </c>
      <c r="D19" s="78" t="s">
        <v>185</v>
      </c>
      <c r="E19" s="81"/>
      <c r="F19" s="81">
        <v>46211.0</v>
      </c>
      <c r="G19" s="56">
        <v>2836.0</v>
      </c>
      <c r="H19" s="13" t="s">
        <v>61</v>
      </c>
      <c r="I19" s="38" t="s">
        <v>31</v>
      </c>
      <c r="J19" s="38" t="s">
        <v>65</v>
      </c>
      <c r="K19" s="73"/>
      <c r="L19" s="73"/>
      <c r="M19" s="73"/>
      <c r="N19" s="73"/>
    </row>
    <row r="20">
      <c r="B20" s="56">
        <v>1.0</v>
      </c>
      <c r="C20" s="70" t="s">
        <v>188</v>
      </c>
      <c r="D20" s="70" t="s">
        <v>189</v>
      </c>
      <c r="E20" s="81"/>
      <c r="F20" s="81">
        <v>46206.0</v>
      </c>
      <c r="G20" s="56">
        <v>1002.0</v>
      </c>
      <c r="H20" s="38" t="s">
        <v>62</v>
      </c>
      <c r="I20" s="45" t="s">
        <v>28</v>
      </c>
      <c r="J20" s="45" t="s">
        <v>65</v>
      </c>
      <c r="K20" s="73"/>
      <c r="L20" s="73"/>
      <c r="M20" s="73"/>
      <c r="N20" s="73"/>
    </row>
    <row r="21">
      <c r="B21" s="56">
        <v>1.0</v>
      </c>
      <c r="C21" s="84" t="s">
        <v>190</v>
      </c>
      <c r="D21" s="85" t="s">
        <v>192</v>
      </c>
      <c r="E21" s="81"/>
      <c r="F21" s="81">
        <v>45852.0</v>
      </c>
      <c r="G21" s="56">
        <v>1002.0</v>
      </c>
      <c r="H21" s="38" t="s">
        <v>62</v>
      </c>
      <c r="I21" s="45" t="s">
        <v>28</v>
      </c>
      <c r="J21" s="45" t="s">
        <v>65</v>
      </c>
      <c r="K21" s="73"/>
      <c r="L21" s="73"/>
      <c r="M21" s="73"/>
      <c r="N21" s="73"/>
    </row>
    <row r="22">
      <c r="B22" s="70">
        <v>1.0</v>
      </c>
      <c r="C22" s="82" t="s">
        <v>195</v>
      </c>
      <c r="D22" s="45" t="s">
        <v>196</v>
      </c>
      <c r="E22" s="43"/>
      <c r="F22" s="43">
        <v>46221.0</v>
      </c>
      <c r="G22" s="56">
        <v>7253.0</v>
      </c>
      <c r="H22" s="38" t="s">
        <v>30</v>
      </c>
      <c r="I22" s="45" t="s">
        <v>31</v>
      </c>
      <c r="J22" s="45" t="s">
        <v>65</v>
      </c>
      <c r="K22" s="73"/>
      <c r="L22" s="73"/>
      <c r="M22" s="73"/>
      <c r="N22" s="73"/>
    </row>
    <row r="23">
      <c r="B23" s="70">
        <v>1.0</v>
      </c>
      <c r="C23" s="70" t="s">
        <v>197</v>
      </c>
      <c r="D23" s="86" t="s">
        <v>199</v>
      </c>
      <c r="E23" s="81"/>
      <c r="F23" s="81">
        <v>46226.0</v>
      </c>
      <c r="G23" s="56">
        <v>6858.0</v>
      </c>
      <c r="H23" s="38" t="s">
        <v>30</v>
      </c>
      <c r="I23" s="45" t="s">
        <v>31</v>
      </c>
      <c r="J23" s="45" t="s">
        <v>65</v>
      </c>
      <c r="K23" s="73"/>
      <c r="L23" s="73"/>
      <c r="M23" s="73"/>
      <c r="N23" s="73"/>
    </row>
    <row r="24">
      <c r="B24" s="56">
        <v>1.0</v>
      </c>
      <c r="C24" s="82" t="s">
        <v>201</v>
      </c>
      <c r="D24" s="85" t="s">
        <v>202</v>
      </c>
      <c r="E24" s="81"/>
      <c r="F24" s="81">
        <v>46220.0</v>
      </c>
      <c r="G24" s="56">
        <v>1002.0</v>
      </c>
      <c r="H24" s="38" t="s">
        <v>62</v>
      </c>
      <c r="I24" s="45" t="s">
        <v>28</v>
      </c>
      <c r="J24" s="45" t="s">
        <v>65</v>
      </c>
      <c r="K24" s="73"/>
      <c r="L24" s="73"/>
      <c r="M24" s="73"/>
      <c r="N24" s="73"/>
    </row>
    <row r="25">
      <c r="B25" s="70">
        <v>1.0</v>
      </c>
      <c r="C25" s="87" t="s">
        <v>205</v>
      </c>
      <c r="D25" s="88" t="s">
        <v>206</v>
      </c>
      <c r="E25" s="81"/>
      <c r="F25" s="81">
        <v>46228.0</v>
      </c>
      <c r="G25" s="56">
        <v>9507.0</v>
      </c>
      <c r="H25" s="38" t="s">
        <v>30</v>
      </c>
      <c r="I25" s="45" t="s">
        <v>31</v>
      </c>
      <c r="J25" s="45" t="s">
        <v>65</v>
      </c>
      <c r="K25" s="73"/>
      <c r="L25" s="73"/>
      <c r="M25" s="73"/>
      <c r="N25" s="73"/>
    </row>
    <row r="26">
      <c r="B26" s="70">
        <v>1.0</v>
      </c>
      <c r="C26" s="84" t="s">
        <v>207</v>
      </c>
      <c r="D26" s="85" t="s">
        <v>208</v>
      </c>
      <c r="E26" s="89"/>
      <c r="F26" s="89">
        <v>46224.0</v>
      </c>
      <c r="G26" s="56">
        <v>6084.0</v>
      </c>
      <c r="H26" s="85" t="s">
        <v>61</v>
      </c>
      <c r="I26" s="45" t="s">
        <v>31</v>
      </c>
      <c r="J26" s="45" t="s">
        <v>65</v>
      </c>
      <c r="K26" s="73"/>
      <c r="L26" s="73"/>
      <c r="M26" s="73"/>
      <c r="N26" s="73"/>
    </row>
    <row r="27">
      <c r="B27" s="70">
        <v>1.0</v>
      </c>
      <c r="C27" s="90" t="s">
        <v>211</v>
      </c>
      <c r="D27" s="91" t="s">
        <v>212</v>
      </c>
      <c r="E27" s="70"/>
      <c r="F27" s="70" t="s">
        <v>215</v>
      </c>
      <c r="G27" s="56">
        <v>56.0</v>
      </c>
      <c r="H27" s="92" t="s">
        <v>216</v>
      </c>
      <c r="I27" s="70" t="s">
        <v>217</v>
      </c>
      <c r="J27" s="70" t="s">
        <v>65</v>
      </c>
      <c r="K27" s="73"/>
      <c r="L27" s="73"/>
      <c r="M27" s="73"/>
      <c r="N27" s="73"/>
    </row>
    <row r="28">
      <c r="B28" s="70">
        <v>1.0</v>
      </c>
      <c r="C28" s="82" t="s">
        <v>220</v>
      </c>
      <c r="D28" s="85" t="s">
        <v>221</v>
      </c>
      <c r="E28" s="81"/>
      <c r="F28" s="81">
        <v>46234.0</v>
      </c>
      <c r="G28" s="56">
        <v>1002.0</v>
      </c>
      <c r="H28" s="38" t="s">
        <v>62</v>
      </c>
      <c r="I28" s="45" t="s">
        <v>28</v>
      </c>
      <c r="J28" s="45" t="s">
        <v>65</v>
      </c>
      <c r="K28" s="73"/>
      <c r="L28" s="73"/>
      <c r="M28" s="73"/>
      <c r="N28" s="73"/>
    </row>
    <row r="29">
      <c r="B29" s="70">
        <v>1.0</v>
      </c>
      <c r="C29" s="70" t="s">
        <v>222</v>
      </c>
      <c r="D29" s="70" t="s">
        <v>223</v>
      </c>
      <c r="E29" s="81"/>
      <c r="F29" s="81">
        <v>46235.0</v>
      </c>
      <c r="G29" s="56">
        <v>8267.0</v>
      </c>
      <c r="H29" s="93" t="s">
        <v>30</v>
      </c>
      <c r="I29" s="45" t="s">
        <v>31</v>
      </c>
      <c r="J29" s="45" t="s">
        <v>65</v>
      </c>
      <c r="K29" s="73"/>
      <c r="L29" s="73"/>
      <c r="M29" s="73"/>
      <c r="N29" s="73"/>
    </row>
    <row r="30">
      <c r="B30" s="70">
        <v>1.0</v>
      </c>
      <c r="C30" s="82" t="s">
        <v>224</v>
      </c>
      <c r="D30" s="85" t="s">
        <v>225</v>
      </c>
      <c r="E30" s="81"/>
      <c r="F30" s="81">
        <v>46236.0</v>
      </c>
      <c r="G30" s="56">
        <v>6512.0</v>
      </c>
      <c r="H30" s="85" t="s">
        <v>61</v>
      </c>
      <c r="I30" s="45" t="s">
        <v>31</v>
      </c>
      <c r="J30" s="45" t="s">
        <v>65</v>
      </c>
      <c r="K30" s="73"/>
      <c r="L30" s="73"/>
      <c r="M30" s="73"/>
      <c r="N30" s="73"/>
    </row>
    <row r="31">
      <c r="B31" s="70">
        <v>1.0</v>
      </c>
      <c r="C31" s="73"/>
      <c r="D31" s="70" t="s">
        <v>226</v>
      </c>
      <c r="E31" s="70"/>
      <c r="F31" s="70" t="s">
        <v>228</v>
      </c>
      <c r="G31" s="56">
        <v>32.0</v>
      </c>
      <c r="H31" s="70" t="s">
        <v>216</v>
      </c>
      <c r="I31" s="70" t="s">
        <v>217</v>
      </c>
      <c r="J31" s="45" t="s">
        <v>65</v>
      </c>
      <c r="K31" s="73"/>
      <c r="L31" s="73"/>
      <c r="M31" s="73"/>
      <c r="N31" s="73"/>
    </row>
    <row r="32">
      <c r="B32" s="70">
        <v>1.0</v>
      </c>
      <c r="C32" s="73"/>
      <c r="D32" s="70" t="s">
        <v>229</v>
      </c>
      <c r="E32" s="70"/>
      <c r="F32" s="70" t="s">
        <v>228</v>
      </c>
      <c r="G32" s="56">
        <v>32.0</v>
      </c>
      <c r="H32" s="70" t="s">
        <v>216</v>
      </c>
      <c r="I32" s="70" t="s">
        <v>217</v>
      </c>
      <c r="J32" s="45" t="s">
        <v>65</v>
      </c>
      <c r="K32" s="73"/>
      <c r="L32" s="73"/>
      <c r="M32" s="73"/>
      <c r="N32" s="73"/>
    </row>
    <row r="33">
      <c r="B33" s="70">
        <v>1.0</v>
      </c>
      <c r="C33" s="82" t="s">
        <v>232</v>
      </c>
      <c r="D33" s="70" t="s">
        <v>223</v>
      </c>
      <c r="E33" s="81"/>
      <c r="F33" s="81">
        <v>46240.0</v>
      </c>
      <c r="G33" s="56">
        <v>8347.0</v>
      </c>
      <c r="H33" s="93" t="s">
        <v>30</v>
      </c>
      <c r="I33" s="45" t="s">
        <v>31</v>
      </c>
      <c r="J33" s="45" t="s">
        <v>65</v>
      </c>
      <c r="K33" s="73"/>
      <c r="L33" s="73"/>
      <c r="M33" s="73"/>
      <c r="N33" s="73"/>
    </row>
    <row r="34">
      <c r="B34" s="94">
        <v>1.0</v>
      </c>
      <c r="C34" s="85" t="s">
        <v>233</v>
      </c>
      <c r="D34" s="85" t="s">
        <v>234</v>
      </c>
      <c r="E34" s="81"/>
      <c r="F34" s="81">
        <v>46244.0</v>
      </c>
      <c r="G34" s="96">
        <v>1002.0</v>
      </c>
      <c r="H34" s="38" t="s">
        <v>62</v>
      </c>
      <c r="I34" s="70" t="s">
        <v>28</v>
      </c>
      <c r="J34" s="45" t="s">
        <v>65</v>
      </c>
      <c r="K34" s="73"/>
      <c r="L34" s="73"/>
      <c r="M34" s="73"/>
      <c r="N34" s="73"/>
    </row>
    <row r="35">
      <c r="B35" s="27"/>
      <c r="C35" s="98" t="s">
        <v>237</v>
      </c>
      <c r="D35" s="85" t="s">
        <v>238</v>
      </c>
      <c r="E35" s="81"/>
      <c r="F35" s="81">
        <v>46244.0</v>
      </c>
      <c r="G35" s="99">
        <v>1404.0</v>
      </c>
      <c r="H35" s="38" t="s">
        <v>62</v>
      </c>
      <c r="I35" s="70" t="s">
        <v>28</v>
      </c>
      <c r="J35" s="45" t="s">
        <v>65</v>
      </c>
      <c r="K35" s="73"/>
      <c r="L35" s="73"/>
      <c r="M35" s="73"/>
      <c r="N35" s="73"/>
    </row>
    <row r="36">
      <c r="B36" s="73"/>
      <c r="C36" s="45">
        <v>9.99582004986E11</v>
      </c>
      <c r="D36" s="45" t="s">
        <v>240</v>
      </c>
      <c r="E36" s="45"/>
      <c r="F36" s="45" t="s">
        <v>242</v>
      </c>
      <c r="G36" s="56">
        <v>1550.0</v>
      </c>
      <c r="H36" s="45" t="s">
        <v>125</v>
      </c>
      <c r="I36" s="45" t="s">
        <v>50</v>
      </c>
      <c r="J36" s="45" t="s">
        <v>65</v>
      </c>
      <c r="K36" s="73"/>
      <c r="L36" s="73"/>
      <c r="M36" s="73"/>
      <c r="N36" s="73"/>
    </row>
    <row r="37">
      <c r="B37" s="73"/>
      <c r="C37" s="45">
        <v>1.001099004986E12</v>
      </c>
      <c r="D37" s="70" t="s">
        <v>243</v>
      </c>
      <c r="E37" s="70"/>
      <c r="F37" s="70" t="s">
        <v>244</v>
      </c>
      <c r="G37" s="56">
        <v>1754.0</v>
      </c>
      <c r="H37" s="70" t="s">
        <v>125</v>
      </c>
      <c r="I37" s="70" t="s">
        <v>50</v>
      </c>
      <c r="J37" s="45" t="s">
        <v>65</v>
      </c>
      <c r="K37" s="73"/>
      <c r="L37" s="73"/>
      <c r="M37" s="73"/>
      <c r="N37" s="73"/>
    </row>
    <row r="38">
      <c r="B38" s="73"/>
      <c r="C38" s="45">
        <v>1.001502004986E12</v>
      </c>
      <c r="D38" s="45" t="s">
        <v>247</v>
      </c>
      <c r="E38" s="100">
        <v>46261.0</v>
      </c>
      <c r="F38" s="45" t="s">
        <v>248</v>
      </c>
      <c r="G38" s="56">
        <v>2110.0</v>
      </c>
      <c r="H38" s="45" t="s">
        <v>125</v>
      </c>
      <c r="I38" s="45" t="s">
        <v>50</v>
      </c>
      <c r="J38" s="45" t="s">
        <v>65</v>
      </c>
      <c r="K38" s="101">
        <v>46261.0</v>
      </c>
      <c r="L38" s="56" t="s">
        <v>128</v>
      </c>
      <c r="M38" s="70" t="s">
        <v>72</v>
      </c>
      <c r="N38" s="73"/>
    </row>
    <row r="39">
      <c r="B39" s="70">
        <v>1.0</v>
      </c>
      <c r="C39" s="82" t="s">
        <v>250</v>
      </c>
      <c r="D39" s="70" t="s">
        <v>251</v>
      </c>
      <c r="E39" s="81"/>
      <c r="F39" s="81">
        <v>46257.0</v>
      </c>
      <c r="G39" s="56">
        <v>2001.0</v>
      </c>
      <c r="H39" s="82" t="s">
        <v>252</v>
      </c>
      <c r="I39" s="70" t="s">
        <v>28</v>
      </c>
      <c r="J39" s="45" t="s">
        <v>65</v>
      </c>
      <c r="K39" s="73"/>
      <c r="L39" s="70"/>
      <c r="M39" s="73"/>
      <c r="N39" s="73"/>
    </row>
    <row r="40">
      <c r="B40" s="73"/>
      <c r="C40" s="45">
        <v>1.006317004986E12</v>
      </c>
      <c r="D40" s="45" t="s">
        <v>253</v>
      </c>
      <c r="E40" s="100">
        <v>46263.0</v>
      </c>
      <c r="F40" s="45" t="s">
        <v>255</v>
      </c>
      <c r="G40" s="56">
        <v>2143.0</v>
      </c>
      <c r="H40" s="45" t="s">
        <v>125</v>
      </c>
      <c r="I40" s="45" t="s">
        <v>50</v>
      </c>
      <c r="J40" s="45" t="s">
        <v>65</v>
      </c>
      <c r="K40" s="73"/>
      <c r="L40" s="73"/>
      <c r="M40" s="73"/>
      <c r="N40" s="73"/>
    </row>
    <row r="41">
      <c r="B41" s="70">
        <v>1.0</v>
      </c>
      <c r="C41" s="85" t="s">
        <v>256</v>
      </c>
      <c r="D41" s="85" t="s">
        <v>257</v>
      </c>
      <c r="E41" s="89"/>
      <c r="F41" s="89">
        <v>46260.0</v>
      </c>
      <c r="G41" s="102">
        <v>5622.0</v>
      </c>
      <c r="H41" s="85" t="s">
        <v>260</v>
      </c>
      <c r="I41" s="70" t="s">
        <v>31</v>
      </c>
      <c r="J41" s="45" t="s">
        <v>65</v>
      </c>
      <c r="K41" s="103">
        <v>46260.0</v>
      </c>
      <c r="L41" s="56" t="s">
        <v>128</v>
      </c>
      <c r="M41" s="68" t="s">
        <v>262</v>
      </c>
      <c r="N41" s="104"/>
    </row>
    <row r="42">
      <c r="B42" s="94">
        <v>1.0</v>
      </c>
      <c r="C42" s="98" t="s">
        <v>264</v>
      </c>
      <c r="D42" s="85" t="s">
        <v>257</v>
      </c>
      <c r="E42" s="89"/>
      <c r="F42" s="89">
        <v>46260.0</v>
      </c>
      <c r="G42" s="102">
        <v>7642.0</v>
      </c>
      <c r="H42" s="85" t="s">
        <v>260</v>
      </c>
      <c r="I42" s="70" t="s">
        <v>31</v>
      </c>
      <c r="J42" s="105" t="s">
        <v>65</v>
      </c>
      <c r="K42" s="106">
        <v>46260.0</v>
      </c>
      <c r="L42" s="107" t="s">
        <v>128</v>
      </c>
      <c r="M42" s="107" t="s">
        <v>265</v>
      </c>
      <c r="N42" s="73"/>
    </row>
    <row r="43">
      <c r="B43" s="27"/>
      <c r="C43" s="108" t="s">
        <v>266</v>
      </c>
      <c r="D43" s="108" t="s">
        <v>267</v>
      </c>
      <c r="E43" s="109"/>
      <c r="F43" s="89">
        <v>46260.0</v>
      </c>
      <c r="G43" s="110">
        <v>24.0</v>
      </c>
      <c r="H43" s="85" t="s">
        <v>260</v>
      </c>
      <c r="I43" s="70" t="s">
        <v>31</v>
      </c>
      <c r="J43" s="105" t="s">
        <v>65</v>
      </c>
      <c r="K43" s="27"/>
      <c r="L43" s="27"/>
      <c r="M43" s="27"/>
      <c r="N43" s="73"/>
    </row>
    <row r="44">
      <c r="B44" s="70">
        <v>1.0</v>
      </c>
      <c r="C44" s="85" t="s">
        <v>270</v>
      </c>
      <c r="D44" s="85" t="s">
        <v>271</v>
      </c>
      <c r="E44" s="100">
        <v>46259.0</v>
      </c>
      <c r="F44" s="111">
        <v>46262.708333333336</v>
      </c>
      <c r="G44" s="112">
        <v>5618.0</v>
      </c>
      <c r="H44" s="113" t="s">
        <v>274</v>
      </c>
      <c r="I44" s="70" t="s">
        <v>31</v>
      </c>
      <c r="J44" s="105" t="s">
        <v>65</v>
      </c>
      <c r="K44" s="114">
        <v>46259.0</v>
      </c>
      <c r="L44" s="56" t="s">
        <v>176</v>
      </c>
      <c r="M44" s="56" t="s">
        <v>275</v>
      </c>
      <c r="N44" s="115" t="s">
        <v>276</v>
      </c>
    </row>
    <row r="45">
      <c r="B45" s="70">
        <v>1.0</v>
      </c>
      <c r="C45" s="85" t="s">
        <v>277</v>
      </c>
      <c r="D45" s="85" t="s">
        <v>271</v>
      </c>
      <c r="E45" s="111"/>
      <c r="F45" s="111">
        <v>46262.708333333336</v>
      </c>
      <c r="G45" s="116">
        <v>5600.0</v>
      </c>
      <c r="H45" s="113" t="s">
        <v>274</v>
      </c>
      <c r="I45" s="70" t="s">
        <v>31</v>
      </c>
      <c r="J45" s="105" t="s">
        <v>65</v>
      </c>
      <c r="K45" s="117">
        <v>46262.0</v>
      </c>
      <c r="L45" s="56" t="s">
        <v>176</v>
      </c>
      <c r="M45" s="70" t="s">
        <v>280</v>
      </c>
      <c r="N45" s="115" t="s">
        <v>281</v>
      </c>
    </row>
    <row r="46">
      <c r="B46" s="94">
        <v>1.0</v>
      </c>
      <c r="C46" s="118" t="s">
        <v>282</v>
      </c>
      <c r="D46" s="118" t="s">
        <v>271</v>
      </c>
      <c r="E46" s="100">
        <v>46261.0</v>
      </c>
      <c r="F46" s="120">
        <v>46263.708333333336</v>
      </c>
      <c r="G46" s="121">
        <v>7728.0</v>
      </c>
      <c r="H46" s="122" t="s">
        <v>274</v>
      </c>
      <c r="I46" s="94" t="s">
        <v>31</v>
      </c>
      <c r="J46" s="123" t="s">
        <v>65</v>
      </c>
      <c r="K46" s="117">
        <v>46261.0</v>
      </c>
      <c r="L46" s="56" t="s">
        <v>176</v>
      </c>
      <c r="M46" s="70" t="s">
        <v>286</v>
      </c>
      <c r="N46" s="73"/>
    </row>
    <row r="47">
      <c r="B47" s="70">
        <v>1.0</v>
      </c>
      <c r="C47" s="85" t="s">
        <v>287</v>
      </c>
      <c r="D47" s="85" t="s">
        <v>271</v>
      </c>
      <c r="E47" s="100">
        <v>46261.0</v>
      </c>
      <c r="F47" s="111">
        <v>46263.708333333336</v>
      </c>
      <c r="G47" s="116">
        <v>8400.0</v>
      </c>
      <c r="H47" s="113" t="s">
        <v>274</v>
      </c>
      <c r="I47" s="70" t="s">
        <v>31</v>
      </c>
      <c r="J47" s="105" t="s">
        <v>65</v>
      </c>
      <c r="K47" s="124">
        <v>46261.0</v>
      </c>
      <c r="L47" s="56" t="s">
        <v>176</v>
      </c>
      <c r="M47" s="70" t="s">
        <v>290</v>
      </c>
      <c r="N47" s="73"/>
    </row>
    <row r="48">
      <c r="B48" s="70">
        <v>1.0</v>
      </c>
      <c r="C48" s="70">
        <v>1.008207004986E12</v>
      </c>
      <c r="D48" s="70" t="s">
        <v>291</v>
      </c>
      <c r="E48" s="100">
        <v>46270.0</v>
      </c>
      <c r="F48" s="70" t="s">
        <v>292</v>
      </c>
      <c r="G48" s="56">
        <v>6707.0</v>
      </c>
      <c r="H48" s="70" t="s">
        <v>293</v>
      </c>
      <c r="I48" s="70" t="s">
        <v>50</v>
      </c>
      <c r="J48" s="105" t="s">
        <v>65</v>
      </c>
      <c r="K48" s="125">
        <v>46239.0</v>
      </c>
      <c r="L48" s="56" t="s">
        <v>176</v>
      </c>
      <c r="M48" s="70" t="s">
        <v>295</v>
      </c>
      <c r="N48" s="70" t="s">
        <v>296</v>
      </c>
    </row>
    <row r="49">
      <c r="B49" s="70">
        <v>1.0</v>
      </c>
      <c r="C49" s="82" t="s">
        <v>298</v>
      </c>
      <c r="D49" s="85" t="s">
        <v>271</v>
      </c>
      <c r="E49" s="127"/>
      <c r="F49" s="127" t="s">
        <v>299</v>
      </c>
      <c r="G49" s="128">
        <v>10874.0</v>
      </c>
      <c r="H49" s="113" t="s">
        <v>274</v>
      </c>
      <c r="I49" s="70" t="s">
        <v>31</v>
      </c>
      <c r="J49" s="45" t="s">
        <v>65</v>
      </c>
      <c r="K49" s="100">
        <v>46265.0</v>
      </c>
      <c r="L49" s="56" t="s">
        <v>176</v>
      </c>
      <c r="M49" s="70" t="s">
        <v>300</v>
      </c>
      <c r="N49" s="73"/>
    </row>
    <row r="50">
      <c r="B50" s="70">
        <v>1.0</v>
      </c>
      <c r="C50" s="70" t="s">
        <v>301</v>
      </c>
      <c r="D50" s="85" t="s">
        <v>271</v>
      </c>
      <c r="E50" s="131">
        <v>46266.0</v>
      </c>
      <c r="F50" s="127" t="s">
        <v>302</v>
      </c>
      <c r="G50" s="56">
        <v>7520.0</v>
      </c>
      <c r="H50" s="113" t="s">
        <v>274</v>
      </c>
      <c r="I50" s="70" t="s">
        <v>31</v>
      </c>
      <c r="J50" s="45" t="s">
        <v>65</v>
      </c>
      <c r="K50" s="131">
        <v>46266.0</v>
      </c>
      <c r="L50" s="56" t="s">
        <v>176</v>
      </c>
      <c r="M50" s="70" t="s">
        <v>303</v>
      </c>
      <c r="N50" s="73"/>
    </row>
    <row r="51">
      <c r="B51" s="70">
        <v>1.0</v>
      </c>
      <c r="C51" s="133" t="s">
        <v>306</v>
      </c>
      <c r="D51" s="85" t="s">
        <v>307</v>
      </c>
      <c r="E51" s="135">
        <v>46268.0</v>
      </c>
      <c r="F51" s="127" t="s">
        <v>302</v>
      </c>
      <c r="G51" s="102">
        <v>2094.0</v>
      </c>
      <c r="H51" s="85" t="s">
        <v>62</v>
      </c>
      <c r="I51" s="70" t="s">
        <v>28</v>
      </c>
      <c r="J51" s="45" t="s">
        <v>65</v>
      </c>
      <c r="K51" s="136"/>
      <c r="L51" s="73"/>
      <c r="M51" s="73"/>
      <c r="N51" s="73"/>
    </row>
    <row r="52">
      <c r="B52" s="94">
        <v>1.0</v>
      </c>
      <c r="C52" s="137" t="s">
        <v>311</v>
      </c>
      <c r="D52" s="118" t="s">
        <v>312</v>
      </c>
      <c r="E52" s="138">
        <v>46273.0</v>
      </c>
      <c r="F52" s="139" t="s">
        <v>314</v>
      </c>
      <c r="G52" s="140">
        <v>1134.0</v>
      </c>
      <c r="H52" s="118" t="s">
        <v>317</v>
      </c>
      <c r="I52" s="94" t="s">
        <v>28</v>
      </c>
      <c r="J52" s="141" t="s">
        <v>65</v>
      </c>
      <c r="K52" s="142"/>
      <c r="L52" s="104"/>
      <c r="M52" s="104"/>
      <c r="N52" s="104"/>
    </row>
    <row r="53">
      <c r="B53" s="70">
        <v>1.0</v>
      </c>
      <c r="C53" s="98" t="s">
        <v>319</v>
      </c>
      <c r="D53" s="143" t="s">
        <v>321</v>
      </c>
      <c r="E53" s="100">
        <v>46271.0</v>
      </c>
      <c r="F53" s="89">
        <v>46276.0</v>
      </c>
      <c r="G53" s="56">
        <v>5400.0</v>
      </c>
      <c r="H53" s="113" t="s">
        <v>274</v>
      </c>
      <c r="I53" s="70" t="s">
        <v>31</v>
      </c>
      <c r="J53" s="45" t="s">
        <v>65</v>
      </c>
      <c r="K53" s="73"/>
      <c r="L53" s="73"/>
      <c r="M53" s="73"/>
      <c r="N53" s="73"/>
    </row>
    <row r="54">
      <c r="B54" s="144">
        <v>1.0</v>
      </c>
      <c r="C54" s="145" t="s">
        <v>325</v>
      </c>
      <c r="D54" s="147" t="s">
        <v>321</v>
      </c>
      <c r="E54" s="148"/>
      <c r="F54" s="150">
        <v>46284.0</v>
      </c>
      <c r="G54" s="152">
        <v>8029.0</v>
      </c>
      <c r="H54" s="153" t="s">
        <v>274</v>
      </c>
      <c r="I54" s="144" t="s">
        <v>31</v>
      </c>
      <c r="J54" s="155" t="s">
        <v>65</v>
      </c>
      <c r="K54" s="144" t="s">
        <v>332</v>
      </c>
      <c r="L54" s="73"/>
      <c r="M54" s="73"/>
      <c r="N54" s="73"/>
    </row>
    <row r="55">
      <c r="B55" s="73"/>
      <c r="C55" s="56" t="s">
        <v>333</v>
      </c>
      <c r="D55" s="56" t="s">
        <v>307</v>
      </c>
      <c r="E55" s="159">
        <v>46270.0</v>
      </c>
      <c r="F55" s="159">
        <v>46270.0</v>
      </c>
      <c r="G55" s="56">
        <v>2094.0</v>
      </c>
      <c r="H55" s="56" t="s">
        <v>62</v>
      </c>
      <c r="I55" s="56" t="s">
        <v>28</v>
      </c>
      <c r="J55" s="45" t="s">
        <v>65</v>
      </c>
      <c r="K55" s="159">
        <v>46270.0</v>
      </c>
      <c r="L55" s="56" t="s">
        <v>128</v>
      </c>
      <c r="M55" s="56" t="s">
        <v>72</v>
      </c>
      <c r="N55" s="161" t="s">
        <v>334</v>
      </c>
    </row>
    <row r="56">
      <c r="B56" s="94">
        <v>1.0</v>
      </c>
      <c r="C56" s="163" t="s">
        <v>336</v>
      </c>
      <c r="D56" s="164" t="s">
        <v>337</v>
      </c>
      <c r="E56" s="73"/>
      <c r="F56" s="81">
        <v>46291.0</v>
      </c>
      <c r="G56" s="56">
        <v>1200.0</v>
      </c>
      <c r="H56" s="113" t="s">
        <v>274</v>
      </c>
      <c r="I56" s="70" t="s">
        <v>338</v>
      </c>
      <c r="J56" s="45" t="s">
        <v>65</v>
      </c>
      <c r="K56" s="73"/>
      <c r="L56" s="73"/>
      <c r="M56" s="73"/>
      <c r="N56" s="73"/>
    </row>
    <row r="57">
      <c r="B57" s="27"/>
      <c r="C57" s="165" t="s">
        <v>339</v>
      </c>
      <c r="D57" s="166" t="s">
        <v>340</v>
      </c>
      <c r="E57" s="104"/>
      <c r="F57" s="167">
        <v>46291.0</v>
      </c>
      <c r="G57" s="68">
        <v>8037.0</v>
      </c>
      <c r="H57" s="122" t="s">
        <v>274</v>
      </c>
      <c r="I57" s="94" t="s">
        <v>338</v>
      </c>
      <c r="J57" s="141" t="s">
        <v>65</v>
      </c>
      <c r="K57" s="73"/>
      <c r="L57" s="73"/>
      <c r="M57" s="73"/>
      <c r="N57" s="73"/>
    </row>
    <row r="58">
      <c r="B58" s="70">
        <v>2.0</v>
      </c>
      <c r="C58" s="85" t="s">
        <v>341</v>
      </c>
      <c r="D58" s="143" t="s">
        <v>340</v>
      </c>
      <c r="E58" s="73"/>
      <c r="F58" s="81">
        <v>46290.0</v>
      </c>
      <c r="G58" s="56">
        <v>8400.0</v>
      </c>
      <c r="H58" s="113" t="s">
        <v>274</v>
      </c>
      <c r="I58" s="70" t="s">
        <v>338</v>
      </c>
      <c r="J58" s="45" t="s">
        <v>65</v>
      </c>
      <c r="K58" s="136"/>
      <c r="L58" s="73"/>
      <c r="M58" s="73"/>
      <c r="N58" s="73"/>
    </row>
    <row r="59">
      <c r="B59" s="94">
        <v>1.0</v>
      </c>
      <c r="C59" s="82" t="s">
        <v>342</v>
      </c>
      <c r="D59" s="70" t="s">
        <v>343</v>
      </c>
      <c r="E59" s="73"/>
      <c r="F59" s="81">
        <v>46287.0</v>
      </c>
      <c r="G59" s="168">
        <v>1410.0</v>
      </c>
      <c r="H59" s="56" t="s">
        <v>62</v>
      </c>
      <c r="I59" s="56" t="s">
        <v>28</v>
      </c>
      <c r="J59" s="45" t="s">
        <v>65</v>
      </c>
      <c r="K59" s="73"/>
      <c r="L59" s="161" t="s">
        <v>334</v>
      </c>
      <c r="M59" s="73"/>
      <c r="N59" s="73"/>
    </row>
    <row r="60">
      <c r="B60" s="27"/>
      <c r="C60" s="82" t="s">
        <v>345</v>
      </c>
      <c r="D60" s="70" t="s">
        <v>346</v>
      </c>
      <c r="E60" s="73"/>
      <c r="F60" s="81">
        <v>46287.0</v>
      </c>
      <c r="G60" s="56">
        <v>1812.0</v>
      </c>
      <c r="H60" s="56" t="s">
        <v>62</v>
      </c>
      <c r="I60" s="56" t="s">
        <v>28</v>
      </c>
      <c r="J60" s="45" t="s">
        <v>65</v>
      </c>
      <c r="K60" s="73"/>
      <c r="L60" s="161" t="s">
        <v>334</v>
      </c>
      <c r="M60" s="73"/>
      <c r="N60" s="73"/>
    </row>
    <row r="61">
      <c r="B61" s="70">
        <v>1.0</v>
      </c>
      <c r="C61" s="173" t="s">
        <v>348</v>
      </c>
      <c r="D61" s="174" t="s">
        <v>350</v>
      </c>
      <c r="E61" s="175">
        <v>46297.0</v>
      </c>
      <c r="F61" s="175">
        <v>46298.0</v>
      </c>
      <c r="G61" s="56">
        <v>3556.0</v>
      </c>
      <c r="H61" s="176" t="s">
        <v>61</v>
      </c>
      <c r="I61" s="178" t="s">
        <v>31</v>
      </c>
      <c r="J61" s="45" t="s">
        <v>65</v>
      </c>
      <c r="K61" s="73"/>
      <c r="L61" s="73"/>
      <c r="M61" s="73"/>
      <c r="N61" s="73"/>
    </row>
    <row r="62">
      <c r="B62" s="70">
        <v>1.0</v>
      </c>
      <c r="C62" s="115" t="s">
        <v>355</v>
      </c>
      <c r="D62" s="179" t="s">
        <v>356</v>
      </c>
      <c r="E62" s="175">
        <v>46296.0</v>
      </c>
      <c r="F62" s="175">
        <v>46297.0</v>
      </c>
      <c r="G62" s="56">
        <v>2250.0</v>
      </c>
      <c r="H62" s="176" t="s">
        <v>73</v>
      </c>
      <c r="I62" s="178" t="s">
        <v>31</v>
      </c>
      <c r="J62" s="45" t="s">
        <v>65</v>
      </c>
      <c r="K62" s="73"/>
      <c r="L62" s="73"/>
      <c r="M62" s="73"/>
      <c r="N62" s="73"/>
    </row>
    <row r="63">
      <c r="B63" s="70">
        <v>1.0</v>
      </c>
      <c r="C63" s="115" t="s">
        <v>358</v>
      </c>
      <c r="D63" s="181" t="s">
        <v>359</v>
      </c>
      <c r="E63" s="182"/>
      <c r="F63" s="183">
        <v>46297.0</v>
      </c>
      <c r="G63" s="56">
        <v>6562.0</v>
      </c>
      <c r="H63" s="93" t="s">
        <v>45</v>
      </c>
      <c r="I63" s="178" t="s">
        <v>31</v>
      </c>
      <c r="J63" s="45" t="s">
        <v>65</v>
      </c>
      <c r="K63" s="100">
        <v>46295.0</v>
      </c>
      <c r="L63" s="56" t="s">
        <v>128</v>
      </c>
      <c r="M63" s="70" t="s">
        <v>364</v>
      </c>
      <c r="N63" s="73"/>
    </row>
    <row r="64">
      <c r="B64" s="94">
        <v>1.0</v>
      </c>
      <c r="C64" s="185" t="s">
        <v>366</v>
      </c>
      <c r="D64" s="187" t="s">
        <v>321</v>
      </c>
      <c r="E64" s="188"/>
      <c r="F64" s="189">
        <v>46297.0</v>
      </c>
      <c r="G64" s="68">
        <v>5317.0</v>
      </c>
      <c r="H64" s="191" t="s">
        <v>45</v>
      </c>
      <c r="I64" s="193" t="s">
        <v>31</v>
      </c>
      <c r="J64" s="141" t="s">
        <v>65</v>
      </c>
      <c r="K64" s="100">
        <v>46295.0</v>
      </c>
      <c r="L64" s="56" t="s">
        <v>128</v>
      </c>
      <c r="M64" s="94" t="s">
        <v>371</v>
      </c>
      <c r="N64" s="104"/>
    </row>
    <row r="65">
      <c r="B65" s="70">
        <v>1.0</v>
      </c>
      <c r="C65" s="70" t="s">
        <v>372</v>
      </c>
      <c r="D65" s="181" t="s">
        <v>373</v>
      </c>
      <c r="E65" s="182"/>
      <c r="F65" s="197">
        <v>46296.0</v>
      </c>
      <c r="G65" s="56">
        <v>2250.0</v>
      </c>
      <c r="H65" s="198" t="s">
        <v>377</v>
      </c>
      <c r="I65" s="178" t="s">
        <v>31</v>
      </c>
      <c r="J65" s="45" t="s">
        <v>65</v>
      </c>
      <c r="K65" s="100">
        <v>46295.0</v>
      </c>
      <c r="L65" s="56" t="s">
        <v>128</v>
      </c>
      <c r="M65" s="70" t="s">
        <v>378</v>
      </c>
      <c r="N65" s="73"/>
    </row>
    <row r="66">
      <c r="G66" s="2"/>
      <c r="J66" s="199" t="s">
        <v>65</v>
      </c>
    </row>
    <row r="67">
      <c r="G67" s="2"/>
      <c r="J67" s="45" t="s">
        <v>65</v>
      </c>
    </row>
    <row r="68">
      <c r="G68" s="2"/>
      <c r="J68" s="45" t="s">
        <v>65</v>
      </c>
    </row>
    <row r="69">
      <c r="G69" s="2"/>
      <c r="J69" s="45" t="s">
        <v>65</v>
      </c>
    </row>
    <row r="70">
      <c r="G70" s="2"/>
      <c r="J70" s="45" t="s">
        <v>65</v>
      </c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</sheetData>
  <mergeCells count="13">
    <mergeCell ref="B42:B43"/>
    <mergeCell ref="K42:K43"/>
    <mergeCell ref="L42:L43"/>
    <mergeCell ref="M42:M43"/>
    <mergeCell ref="B56:B57"/>
    <mergeCell ref="B59:B60"/>
    <mergeCell ref="B3:B4"/>
    <mergeCell ref="I3:I4"/>
    <mergeCell ref="J3:J4"/>
    <mergeCell ref="B6:B8"/>
    <mergeCell ref="B15:B16"/>
    <mergeCell ref="B18:B19"/>
    <mergeCell ref="B34:B35"/>
  </mergeCells>
  <dataValidations>
    <dataValidation type="list" allowBlank="1" showErrorMessage="1" sqref="J3 J5:J26 J28:J70">
      <formula1>"Mysore,Manesar"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13"/>
    <col customWidth="1" min="4" max="4" width="17.13"/>
    <col customWidth="1" min="5" max="5" width="15.5"/>
    <col customWidth="1" min="7" max="7" width="20.0"/>
  </cols>
  <sheetData>
    <row r="2">
      <c r="A2" s="46" t="s">
        <v>0</v>
      </c>
      <c r="B2" s="46" t="s">
        <v>1</v>
      </c>
      <c r="C2" s="46" t="s">
        <v>2</v>
      </c>
      <c r="D2" s="46" t="s">
        <v>76</v>
      </c>
      <c r="E2" s="46" t="s">
        <v>5</v>
      </c>
      <c r="F2" s="46" t="s">
        <v>6</v>
      </c>
      <c r="G2" s="46" t="s">
        <v>7</v>
      </c>
      <c r="H2" s="46" t="s">
        <v>29</v>
      </c>
      <c r="I2" s="46" t="s">
        <v>8</v>
      </c>
      <c r="J2" s="46" t="s">
        <v>9</v>
      </c>
      <c r="K2" s="50" t="s">
        <v>10</v>
      </c>
      <c r="L2" s="50" t="s">
        <v>32</v>
      </c>
      <c r="M2" s="50" t="s">
        <v>13</v>
      </c>
      <c r="N2" s="50" t="s">
        <v>33</v>
      </c>
      <c r="O2" s="50" t="s">
        <v>36</v>
      </c>
      <c r="P2" s="50" t="s">
        <v>35</v>
      </c>
    </row>
    <row r="3">
      <c r="B3" s="52" t="s">
        <v>94</v>
      </c>
      <c r="C3" s="53" t="s">
        <v>97</v>
      </c>
      <c r="D3" s="52"/>
      <c r="E3" s="52" t="s">
        <v>102</v>
      </c>
      <c r="F3" s="55">
        <v>120.0</v>
      </c>
      <c r="G3" s="57" t="s">
        <v>106</v>
      </c>
      <c r="H3" s="52" t="s">
        <v>109</v>
      </c>
      <c r="I3" s="52" t="s">
        <v>111</v>
      </c>
      <c r="J3" s="59"/>
      <c r="K3" s="59"/>
      <c r="L3" s="59"/>
      <c r="M3" s="59"/>
      <c r="N3" s="59"/>
      <c r="O3" s="59"/>
      <c r="P3" s="59"/>
    </row>
    <row r="4">
      <c r="C4" s="57"/>
      <c r="D4" s="52"/>
      <c r="E4" s="60"/>
      <c r="F4" s="52"/>
      <c r="G4" s="57"/>
      <c r="H4" s="52"/>
      <c r="I4" s="59"/>
      <c r="J4" s="59"/>
      <c r="K4" s="59"/>
      <c r="L4" s="59"/>
      <c r="M4" s="59"/>
      <c r="N4" s="59"/>
      <c r="O4" s="59"/>
      <c r="P4" s="59"/>
    </row>
    <row r="5">
      <c r="G5" s="63"/>
    </row>
  </sheetData>
  <mergeCells count="1">
    <mergeCell ref="B3:B4"/>
  </mergeCells>
  <drawing r:id="rId1"/>
</worksheet>
</file>